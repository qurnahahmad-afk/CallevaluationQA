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hmad.qurnah\Desktop\"/>
    </mc:Choice>
  </mc:AlternateContent>
  <xr:revisionPtr revIDLastSave="0" documentId="13_ncr:1_{974E1AAC-862D-48F2-A6B9-8501C06F24A9}" xr6:coauthVersionLast="47" xr6:coauthVersionMax="47" xr10:uidLastSave="{00000000-0000-0000-0000-000000000000}"/>
  <bookViews>
    <workbookView xWindow="-108" yWindow="-108" windowWidth="23256" windowHeight="13896" firstSheet="3" activeTab="4" xr2:uid="{00000000-000D-0000-FFFF-FFFF00000000}"/>
  </bookViews>
  <sheets>
    <sheet name="REF" sheetId="1" state="hidden" r:id="rId1"/>
    <sheet name="Team Ref" sheetId="4" state="hidden" r:id="rId2"/>
    <sheet name="Glossary" sheetId="8" state="hidden" r:id="rId3"/>
    <sheet name="QA Scorecard" sheetId="3" r:id="rId4"/>
    <sheet name="Daily Report" sheetId="7" r:id="rId5"/>
  </sheets>
  <definedNames>
    <definedName name="_Agent_">REF!$F$28:$F$31</definedName>
    <definedName name="_xlnm._FilterDatabase" localSheetId="4" hidden="1">'Daily Report'!$A$9:$X$61</definedName>
    <definedName name="_xlnm._FilterDatabase" localSheetId="1" hidden="1">'Team Ref'!$A$1:$B$49</definedName>
    <definedName name="_Technical_">REF!$F$32:$F$33</definedName>
    <definedName name="Agent">REF!$B$3:$B$6</definedName>
    <definedName name="Agent_">REF!$D$9:$D$12</definedName>
    <definedName name="Agent_Behavior">REF!$C$22:$C$25</definedName>
    <definedName name="Agent_Behavior_">REF!$F$12:$F$14</definedName>
    <definedName name="Communication">REF!$C$11:$C$13</definedName>
    <definedName name="Communication_">REF!$F$8:$F$9</definedName>
    <definedName name="Controlable_Factor">REF!$B$3:$B$6</definedName>
    <definedName name="CST_Behavior">REF!$C$26:$C$27</definedName>
    <definedName name="CST_Behavior_">REF!$F$15:$F$16</definedName>
    <definedName name="Customer">REF!$B$7</definedName>
    <definedName name="Customer_">REF!$D$13</definedName>
    <definedName name="Knowledge">REF!$C$3:$C$10</definedName>
    <definedName name="Knowledge_">REF!$F$3:$F$7</definedName>
    <definedName name="Process">REF!$B$9</definedName>
    <definedName name="Process_">REF!$D$15</definedName>
    <definedName name="Process_Limitation">REF!$C$30:$C$32</definedName>
    <definedName name="Process_Limitation_">REF!$F$19</definedName>
    <definedName name="Skill_Issue">REF!$C$14:$C$21</definedName>
    <definedName name="Skill_Issue_">REF!$F$10:$F$11</definedName>
    <definedName name="System_Issue">REF!$C$28:$C$29</definedName>
    <definedName name="System_Issue_">REF!$F$17:$F$18</definedName>
    <definedName name="Technical">REF!$B$8</definedName>
    <definedName name="Technical_">REF!$D$14</definedName>
    <definedName name="Uncontrollable_Factor">REF!$B$7:$B$9</definedName>
    <definedName name="Uncontrollable_Factors">REF!$B$7:$B$8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1" i="3" l="1"/>
  <c r="E53" i="3" l="1"/>
  <c r="B27" i="3" l="1"/>
  <c r="B24" i="3"/>
  <c r="B17" i="3"/>
  <c r="B11" i="3"/>
  <c r="B28" i="3" l="1"/>
  <c r="E52" i="3" s="1"/>
  <c r="O2" i="7" l="1"/>
</calcChain>
</file>

<file path=xl/sharedStrings.xml><?xml version="1.0" encoding="utf-8"?>
<sst xmlns="http://schemas.openxmlformats.org/spreadsheetml/2006/main" count="1051" uniqueCount="438">
  <si>
    <t>Non - Critical Error</t>
  </si>
  <si>
    <t>Customer Critical Error</t>
  </si>
  <si>
    <t>Business Critical Error</t>
  </si>
  <si>
    <t>Auto Fail</t>
  </si>
  <si>
    <t>CSAT</t>
  </si>
  <si>
    <t>Control &amp; Ownership of Call</t>
  </si>
  <si>
    <t>Exceed timeline on hold or mute</t>
  </si>
  <si>
    <t>Agent</t>
  </si>
  <si>
    <t>Process</t>
  </si>
  <si>
    <t>Customer</t>
  </si>
  <si>
    <t>Technical</t>
  </si>
  <si>
    <t>Yes</t>
  </si>
  <si>
    <t>No</t>
  </si>
  <si>
    <t>Valid Hold</t>
  </si>
  <si>
    <t>Hold Reason</t>
  </si>
  <si>
    <t>Valid AHT</t>
  </si>
  <si>
    <t>Long AHT Reason</t>
  </si>
  <si>
    <t>Repeated Interaction Reason L1</t>
  </si>
  <si>
    <t>DSAT reason L1</t>
  </si>
  <si>
    <t>DSAT reason L2</t>
  </si>
  <si>
    <t>Repeated Interaction Reason L2</t>
  </si>
  <si>
    <t>CSAT Score</t>
  </si>
  <si>
    <t>Solved Customer Issue (FCR)</t>
  </si>
  <si>
    <t>FCR Not Achived Reason L1</t>
  </si>
  <si>
    <t>FCR Not Achived Reason L2</t>
  </si>
  <si>
    <t>Agent follow the service mapping</t>
  </si>
  <si>
    <t>Not Follow service mapping Reason L1</t>
  </si>
  <si>
    <t>Not Follow service mapping Reason L2</t>
  </si>
  <si>
    <t>RCA L1</t>
  </si>
  <si>
    <t>Core Issue (RCA) L1</t>
  </si>
  <si>
    <t>Core Issue (RCA) L2</t>
  </si>
  <si>
    <t>Core Issue (RCA) L3</t>
  </si>
  <si>
    <t>Controlable_Factor</t>
  </si>
  <si>
    <t>Skill_Issue_</t>
  </si>
  <si>
    <t>CST_Behavior_</t>
  </si>
  <si>
    <t>Skill_Issue</t>
  </si>
  <si>
    <t>CST_Behavior</t>
  </si>
  <si>
    <t>Uncontrollable_Factor</t>
  </si>
  <si>
    <t>Agent_Behavior</t>
  </si>
  <si>
    <t>System_Issue</t>
  </si>
  <si>
    <t>Communication</t>
  </si>
  <si>
    <t>Knowledge</t>
  </si>
  <si>
    <t>Agent mistreating the customer [e.g., rudeness]</t>
  </si>
  <si>
    <t>RCA L2</t>
  </si>
  <si>
    <t>RCA L3</t>
  </si>
  <si>
    <t>Agent not Aware of AHT (NH only)</t>
  </si>
  <si>
    <t>Knowledge Gap (Clarify in Comment)</t>
  </si>
  <si>
    <t>System Outage (Clarify in Comment)</t>
  </si>
  <si>
    <t>Long Time to Close</t>
  </si>
  <si>
    <t>Double Chat (NH &amp; Chat only)</t>
  </si>
  <si>
    <t>Agent didn't retain CST frustration/increased CST frustration</t>
  </si>
  <si>
    <t>Lack of Focus</t>
  </si>
  <si>
    <t>Documenting CST Complaint</t>
  </si>
  <si>
    <t>Increased verification time from 2nd-line team</t>
  </si>
  <si>
    <t>AHT</t>
  </si>
  <si>
    <t>Hold</t>
  </si>
  <si>
    <t>Needed further support</t>
  </si>
  <si>
    <t>Evading CST complaint/issue</t>
  </si>
  <si>
    <t>Not taking ownership of case/issue</t>
  </si>
  <si>
    <t>Lack of Concentration (re-checking CST issue or solution provided)</t>
  </si>
  <si>
    <t>Quality of information: Incomplete</t>
  </si>
  <si>
    <t>Quality of information: Incorrect</t>
  </si>
  <si>
    <t>Quality of information: Unclear</t>
  </si>
  <si>
    <t>Agent did not take the proper action/Correct Troubleshooting</t>
  </si>
  <si>
    <t>Agent did not offer additional options/Alternatives</t>
  </si>
  <si>
    <t>New KB Update (Clarify in Comment)</t>
  </si>
  <si>
    <t>Rare Case (NHs Only)</t>
  </si>
  <si>
    <t>Agent Didn't show Empathy</t>
  </si>
  <si>
    <t>Agent Wasn't Reassuring the CST</t>
  </si>
  <si>
    <t>Agent did not use a positive tone</t>
  </si>
  <si>
    <t>Didn't properly explain the background of the situation/Issue</t>
  </si>
  <si>
    <t>Poor Invisitagtion/didn't Check  history &amp; effectively used systems and tools</t>
  </si>
  <si>
    <t>High Incoming Concurency (Chat NHs Only)</t>
  </si>
  <si>
    <t>Lack of Concentration/Focus</t>
  </si>
  <si>
    <t>Active listening/Reading Understanding</t>
  </si>
  <si>
    <t>Invalid Silence gaps</t>
  </si>
  <si>
    <t>Invalid Hold time/Silence gap</t>
  </si>
  <si>
    <t>Follow-up Needed as per Process</t>
  </si>
  <si>
    <t xml:space="preserve">CSA Already Resigned  </t>
  </si>
  <si>
    <t>Discipline/ Careless</t>
  </si>
  <si>
    <t>Credit Seeker/Fraudulent</t>
  </si>
  <si>
    <t>Technical Issue with Headset (Clarify in Comment)</t>
  </si>
  <si>
    <t>Wording on KB Misleading (Clarify in Comment)</t>
  </si>
  <si>
    <t>Case Not Clear on KB (Clarify in Comment)</t>
  </si>
  <si>
    <t>Core Issue (RCA)</t>
  </si>
  <si>
    <t>FCR L3</t>
  </si>
  <si>
    <t>DSAT reason L3</t>
  </si>
  <si>
    <t>Process impacts customer experience (Clarify in Comment)</t>
  </si>
  <si>
    <t>Process_Limitation</t>
  </si>
  <si>
    <t>Agent asked CST relevant questions/paraphrasing confirming CST issue</t>
  </si>
  <si>
    <t>FCR L1</t>
  </si>
  <si>
    <t>Agent_</t>
  </si>
  <si>
    <t>Process_</t>
  </si>
  <si>
    <t>Customer_</t>
  </si>
  <si>
    <t>Technical_</t>
  </si>
  <si>
    <t>FRC L2</t>
  </si>
  <si>
    <t>Knowledge_</t>
  </si>
  <si>
    <t>Communication_</t>
  </si>
  <si>
    <t>Agent_Behavior_</t>
  </si>
  <si>
    <t>System_Issue_</t>
  </si>
  <si>
    <t>Process_Limitation_</t>
  </si>
  <si>
    <t>CST no Happy with Correct resolution provided (Clarify in Comment)</t>
  </si>
  <si>
    <t>Over-Promising on Purpose to Maintain High Scores</t>
  </si>
  <si>
    <t>Internet/System Outage (Clarify in Comment)</t>
  </si>
  <si>
    <t>_Agent_</t>
  </si>
  <si>
    <t>_Technical_</t>
  </si>
  <si>
    <t>Normal</t>
  </si>
  <si>
    <t>Repeated Interaction Reason L3</t>
  </si>
  <si>
    <t>FCR Not Achived Reason L3</t>
  </si>
  <si>
    <t>Comment</t>
  </si>
  <si>
    <t>Monitoring Type</t>
  </si>
  <si>
    <t>Evaluation Date</t>
  </si>
  <si>
    <t>LOB</t>
  </si>
  <si>
    <t>Call Summary</t>
  </si>
  <si>
    <t>Personalized the Greeting ( Company name - Agent name)</t>
  </si>
  <si>
    <t>Assistance offered through using phrases (Example How May I Help you , How can I assist you)</t>
  </si>
  <si>
    <t xml:space="preserve">Verfication </t>
  </si>
  <si>
    <t>Did the agent use slangs/jargons</t>
  </si>
  <si>
    <t>Did the agent follow the correct call transfer protocol</t>
  </si>
  <si>
    <t>Call Closing</t>
  </si>
  <si>
    <t xml:space="preserve">Did the agent offer the customer further assistance </t>
  </si>
  <si>
    <t>Did the Agent promote the C-Sat survey</t>
  </si>
  <si>
    <t xml:space="preserve">Process </t>
  </si>
  <si>
    <t>Did the agent gather the right information needed to check customer request</t>
  </si>
  <si>
    <t>Did the agent checked any related tickets/notes/child ticket for customer issue in case any</t>
  </si>
  <si>
    <t xml:space="preserve">Did the agent offered/ Suggested all reasonable alternatives to fulfil customer's needs </t>
  </si>
  <si>
    <t xml:space="preserve">Did the agent dispose the call correctly </t>
  </si>
  <si>
    <t>Ticket remarks need to be added clearly by agent in case of new ticket or private note.</t>
  </si>
  <si>
    <t>Did the agent create a new ticket rather than updating the existing ticket.</t>
  </si>
  <si>
    <t xml:space="preserve">Did the agent create the right ticket on FD/Did the agent follow the correct escalation process </t>
  </si>
  <si>
    <t xml:space="preserve">Has the agent behavior was falling under Misrepresentation ( Yelling, screaming, rudeness &amp; sarcasm) </t>
  </si>
  <si>
    <t xml:space="preserve">Verfiy customer phone number / member ID number/ order number whenever needed </t>
  </si>
  <si>
    <t xml:space="preserve">Did the agent assure help </t>
  </si>
  <si>
    <t>the tone voice was matching the customer enthusiasm and or excitement ( Voice Impact)</t>
  </si>
  <si>
    <t xml:space="preserve">build a good rapport with the customer using empathy or good response </t>
  </si>
  <si>
    <t>addressed the customer by using his/her name with the appropriate title (Except KSA)</t>
  </si>
  <si>
    <t xml:space="preserve">Call Duration was aligned with the customer request </t>
  </si>
  <si>
    <t xml:space="preserve">Did the agent focused on the customer request without missing or requesting repeating his query </t>
  </si>
  <si>
    <t>Agent did not interrupt / speak over the customer "Clipping"</t>
  </si>
  <si>
    <t xml:space="preserve">Did the agent showed confidence or expertise in providing infromation to the customer </t>
  </si>
  <si>
    <t>informed the customer with the held activities during the call ( Dead air)</t>
  </si>
  <si>
    <t>Did the agent take ownership by set caller expection on time frame, process , etc.</t>
  </si>
  <si>
    <t xml:space="preserve">Attribute </t>
  </si>
  <si>
    <t xml:space="preserve">Glossary </t>
  </si>
  <si>
    <t>Was the call opening was clear &amp; within the onset time without distractions (5 seconds)</t>
  </si>
  <si>
    <t xml:space="preserve">Agent should be ready to take the call.
Headset and mic should be always in place. 
Agent should be seated in a quite area where he shouldn’t be distracted.
The call should be answered within 5 seconds. </t>
  </si>
  <si>
    <t>The greeting should be mentioned in full mentioning the following details ( Thank you for calling(Brand Name), (Agent name)is speaking</t>
  </si>
  <si>
    <t>Assistance should be offered during the greeting example: How can I help you, How may I assist you</t>
  </si>
  <si>
    <t xml:space="preserve">Assuring help after customer mentioning his/her concern by saying sure I will do my best to help you , of course I will try to check all possible reasons to help you </t>
  </si>
  <si>
    <t>Agent tone of voice should be smiley and match the customer tone of voice, sleepy/negative/ monotonous tone of voice will</t>
  </si>
  <si>
    <t>Using customer name during the call at least 3 times depend on the call duration(beginning of the call , middle of the call&amp; end of the call)</t>
  </si>
  <si>
    <t xml:space="preserve">speak with the customer in proper language/ style/negative words </t>
  </si>
  <si>
    <t xml:space="preserve">Agent should use same language that customer using and to avoid ordering language or negative words </t>
  </si>
  <si>
    <t xml:space="preserve">Call duration should be matching the call scenario not too long and not too short </t>
  </si>
  <si>
    <t>Focus with the customer inquries without missing any of it or requesting the customer to repeat it ( Lack of focus)</t>
  </si>
  <si>
    <t xml:space="preserve">Agent should wait for the customer to complete his sentence without interoution or asking the customer to stop talking in order for him to speak </t>
  </si>
  <si>
    <t xml:space="preserve">Using any slang word like ( Ok, yea, Nop, Wanna , Gonna) or Jargons like internal words  ( WWD,FD, etc.) is not allowed </t>
  </si>
  <si>
    <t xml:space="preserve">Dead Air should not exceed 30 sec max per pause and will be scored based on the call duration , agent should engage the customer with the activites to avoid the dead air </t>
  </si>
  <si>
    <t>Did the agent follow the correct hold protocol</t>
  </si>
  <si>
    <t xml:space="preserve">the Hold script should be used for placing the call on hold and it should not exceed 2 mins per hold ( May I place the call on hold for 2 mins in order to check more information for you ) </t>
  </si>
  <si>
    <t xml:space="preserve">in case required , call should be transferred warmly where the agent need to inform the BO agent or team leader about the customer problem then need to provide the customer with name of the person who will take over the call </t>
  </si>
  <si>
    <t xml:space="preserve">Agent should offer any further assistance to the customer even if the customer asked for any inquiry , customer should be offered further assistance again </t>
  </si>
  <si>
    <t xml:space="preserve">C-sat is mandatory to be mentioned by end of each call unless the customer has not been served due to system issue </t>
  </si>
  <si>
    <t xml:space="preserve">Did the Agent recap and close the call properly </t>
  </si>
  <si>
    <t xml:space="preserve">Call closure should be branded and to include a recap for the case resolution </t>
  </si>
  <si>
    <t xml:space="preserve">Agent should check the customer history and if the same case escalated before also collect from the customer any related information in case he called before </t>
  </si>
  <si>
    <t>ticket disposition must be correct with full notes</t>
  </si>
  <si>
    <t xml:space="preserve">Any feedback that has been provide on any previous tickets agent should use it and inform the customer about it , also in case any reply that should be gathered from the customer to update the ticket it should be done as well </t>
  </si>
  <si>
    <t xml:space="preserve">Agent need to provide the customer with all the possible resolutions if any as well as guiding or educating the customer about the next steps </t>
  </si>
  <si>
    <t>Did the Agent mislead the customer or used deceptive conduct</t>
  </si>
  <si>
    <t xml:space="preserve">Agent should provide the customer with all the correct information related to his query ( refund timeline, return processed.) falling to provide all related information will be considered as misleading the customer </t>
  </si>
  <si>
    <t>Correct escalation needs to be done, as per the scenario to the relevant team with all the correct details. 
In case if issue needs to be raised agent should raise it to the concerned team</t>
  </si>
  <si>
    <t>Any misbehavior showed by the agent( rudeness, Screaming , yelling or sarcasm ) is not allowed and will be falling under Zero tolerance policy</t>
  </si>
  <si>
    <t xml:space="preserve">Call Avoidance ( Delayed call opening , disconnecting the calls ) </t>
  </si>
  <si>
    <t xml:space="preserve">any delay on call openeing will be consider as avoiding calls as well as disconeecting the call/using system issue verbiage without a confirmation by TL will be considered as call avoidance </t>
  </si>
  <si>
    <t>Using Mute instead of Hold</t>
  </si>
  <si>
    <t xml:space="preserve">Mute is not allowed during the call for any reason, in case the agent need any assiatnce , they can use the hold </t>
  </si>
  <si>
    <t>DSAT</t>
  </si>
  <si>
    <t xml:space="preserve">Daily Monitoring Sheet </t>
  </si>
  <si>
    <t>5 (Normal)</t>
  </si>
  <si>
    <t>1 (Critical)</t>
  </si>
  <si>
    <t>3 (Non Critical)</t>
  </si>
  <si>
    <t>Customer Verbatum (VOC)</t>
  </si>
  <si>
    <t xml:space="preserve">Section </t>
  </si>
  <si>
    <t xml:space="preserve">Call Opening </t>
  </si>
  <si>
    <t xml:space="preserve">Agent need to confirm the phone number or order number in order to verfiy customer profile, for Shukran email or DOB will be required to verfiy any change in customer account </t>
  </si>
  <si>
    <t>Telephone Etiquettes</t>
  </si>
  <si>
    <t>Asking relevant or logical questions to identify customer concern (probing)/paraphrasing</t>
  </si>
  <si>
    <t xml:space="preserve">Probing should be done using open ended questions like could you tell me more about your order or what happened exactly /Agent need to paraphrase customer inqury to ensure that we are aligned with the customer request </t>
  </si>
  <si>
    <t xml:space="preserve">Building rapport must be done by using smiley tone of voice 
showing empathy/ good response should be done immediately by apologizing to the customer when needed or reflect his emotions </t>
  </si>
  <si>
    <t xml:space="preserve">agent should be easy to be understood by using structured and organized manner to explain things to customer </t>
  </si>
  <si>
    <t>Hold &amp; transfer protocol</t>
  </si>
  <si>
    <t xml:space="preserve">Did the Agent promote self service/ app download </t>
  </si>
  <si>
    <t xml:space="preserve">Agent to promote the app or guide the customer of any self service that he can do using the mobile app / offer the customer to download the app for better expiernce </t>
  </si>
  <si>
    <t xml:space="preserve">agents to provide the customer with the time frame /Proecess resolution time </t>
  </si>
  <si>
    <t xml:space="preserve">Documention </t>
  </si>
  <si>
    <t xml:space="preserve">Ticekt remerks should represent the issue of the customer with the clear action that needs to be taken </t>
  </si>
  <si>
    <t xml:space="preserve">Agent must avoid creating a new ticekt since another old ticekt is opened, and he needs to add a private note about the customer follow up </t>
  </si>
  <si>
    <t>Call Score</t>
  </si>
  <si>
    <t>Pass/Fail</t>
  </si>
  <si>
    <t>Team Leader</t>
  </si>
  <si>
    <t>MenaMe Code</t>
  </si>
  <si>
    <t>CAFU Username</t>
  </si>
  <si>
    <t>Attendance User</t>
  </si>
  <si>
    <t>QA</t>
  </si>
  <si>
    <t>Rakan Abdelhadi</t>
  </si>
  <si>
    <t>Rakan.Abdelhadi</t>
  </si>
  <si>
    <t>Mohammad Murad</t>
  </si>
  <si>
    <t>Yazan</t>
  </si>
  <si>
    <t>Over Night</t>
  </si>
  <si>
    <t>Heba Othman</t>
  </si>
  <si>
    <t>Hiba.Othman</t>
  </si>
  <si>
    <t>Escalation</t>
  </si>
  <si>
    <t>Bayan Salah</t>
  </si>
  <si>
    <t>Bayan.Salah</t>
  </si>
  <si>
    <t>Hiba Hammoudeh</t>
  </si>
  <si>
    <t>Hiba.Hammoudeh</t>
  </si>
  <si>
    <t>Massa Ahmad</t>
  </si>
  <si>
    <t>Massa.Alkhatib</t>
  </si>
  <si>
    <t>Layan Saleh</t>
  </si>
  <si>
    <t>Layan.Alnajjar</t>
  </si>
  <si>
    <t>Aya Said</t>
  </si>
  <si>
    <t>Ayah.Alghawi</t>
  </si>
  <si>
    <t>Lama Mahmoud</t>
  </si>
  <si>
    <t>Lama.Alshaikh</t>
  </si>
  <si>
    <t>Anas Jawad</t>
  </si>
  <si>
    <t>Anas.Abuhamidah</t>
  </si>
  <si>
    <t>Ghzaleh</t>
  </si>
  <si>
    <t>Voice</t>
  </si>
  <si>
    <t>Abdalkader Bader</t>
  </si>
  <si>
    <t>Abedalqader.Katbeh</t>
  </si>
  <si>
    <t>Malak Mohammad</t>
  </si>
  <si>
    <t>Malak.Albanna</t>
  </si>
  <si>
    <t>Non-Voice</t>
  </si>
  <si>
    <t>Anas Hamdan</t>
  </si>
  <si>
    <t>Anas.Hamdan</t>
  </si>
  <si>
    <t>Abdallah El Kouch</t>
  </si>
  <si>
    <t>Abdallah.Elkouch</t>
  </si>
  <si>
    <t>Mahdi Alobally</t>
  </si>
  <si>
    <t>Mahdi.Alobally</t>
  </si>
  <si>
    <t>Said AlSa’di</t>
  </si>
  <si>
    <t>Said.Alsadi</t>
  </si>
  <si>
    <t>Abdelrahman Hussein</t>
  </si>
  <si>
    <t>Abdelrahman.Assaf</t>
  </si>
  <si>
    <t>Rami Abuyounes</t>
  </si>
  <si>
    <t>Abdallah Ahmad</t>
  </si>
  <si>
    <t>Abdallah.Altiti</t>
  </si>
  <si>
    <t>Basim Mohammad</t>
  </si>
  <si>
    <t>Bassem.Mohammad</t>
  </si>
  <si>
    <t>Rami Awni</t>
  </si>
  <si>
    <t>Rami.Hamdan</t>
  </si>
  <si>
    <t>Shahd Khalil</t>
  </si>
  <si>
    <t>Shahd.Abuserrieh</t>
  </si>
  <si>
    <t>Mahmoud Hisham</t>
  </si>
  <si>
    <t>Mahmoud.Qutaifan</t>
  </si>
  <si>
    <t>Liyan Nidal</t>
  </si>
  <si>
    <t>Liyan.Khaireddin</t>
  </si>
  <si>
    <t>Dania Sameer</t>
  </si>
  <si>
    <t>Danya.Bustamy</t>
  </si>
  <si>
    <t>Farah Ismael</t>
  </si>
  <si>
    <t>Farah.Ismael</t>
  </si>
  <si>
    <t>Fahed Khaled</t>
  </si>
  <si>
    <t>Fahad.Sabha</t>
  </si>
  <si>
    <t>Hala Mohammed</t>
  </si>
  <si>
    <t>Hala.Alnaimat</t>
  </si>
  <si>
    <t>Maya Hashem</t>
  </si>
  <si>
    <t>Maya.Helweh</t>
  </si>
  <si>
    <t>Yasmeen Omar</t>
  </si>
  <si>
    <t>Yasmeen.Hussein</t>
  </si>
  <si>
    <t>Farouq Shahrure</t>
  </si>
  <si>
    <t>Farouq.Shahrure</t>
  </si>
  <si>
    <t>Esraa Sidair</t>
  </si>
  <si>
    <t>esraa.sidair</t>
  </si>
  <si>
    <t>Ahed Hawas</t>
  </si>
  <si>
    <t>Ahed.Abuhawas</t>
  </si>
  <si>
    <t>Rahaf Habboub</t>
  </si>
  <si>
    <t>Rahaf.Habboub</t>
  </si>
  <si>
    <t>Suliman Saleh</t>
  </si>
  <si>
    <t>Suleiman.Saleh</t>
  </si>
  <si>
    <t>Sobhi Akilah</t>
  </si>
  <si>
    <t>Rozan Mohsen</t>
  </si>
  <si>
    <t>Rozan.Alhwaidi</t>
  </si>
  <si>
    <t>Marya Khaldoon</t>
  </si>
  <si>
    <t>Marya.Yahya</t>
  </si>
  <si>
    <t>Hussam Hasan</t>
  </si>
  <si>
    <t>Husam.Albaw</t>
  </si>
  <si>
    <t>Sondos Nader</t>
  </si>
  <si>
    <t>Sondos.Alakhras</t>
  </si>
  <si>
    <t>Tawfiq Salah</t>
  </si>
  <si>
    <t>Tawfiq.Assalah</t>
  </si>
  <si>
    <t>Zeina Zeyad</t>
  </si>
  <si>
    <t>Zaineh.Habibeh</t>
  </si>
  <si>
    <t>Razan Ersan</t>
  </si>
  <si>
    <t>Razan.Ersan</t>
  </si>
  <si>
    <t>Adham Adnan</t>
  </si>
  <si>
    <t>Adham.Alshorman</t>
  </si>
  <si>
    <t>Salma Abdallah</t>
  </si>
  <si>
    <t>Salma.Alshishani</t>
  </si>
  <si>
    <t>Marah Marie</t>
  </si>
  <si>
    <t>Marah.Kotban</t>
  </si>
  <si>
    <t>Majd Al-Deen</t>
  </si>
  <si>
    <t>Majd.abuobead</t>
  </si>
  <si>
    <t>Saif Abu Halawa</t>
  </si>
  <si>
    <t>Saif.Abuhalawa</t>
  </si>
  <si>
    <t>Sumaia Yousef</t>
  </si>
  <si>
    <t>sumaia.yousef</t>
  </si>
  <si>
    <t>Waleed Yassin</t>
  </si>
  <si>
    <t>Waleed.Sheikh</t>
  </si>
  <si>
    <t>Mohammad Samir</t>
  </si>
  <si>
    <t>Mohammad.Abuzeineh</t>
  </si>
  <si>
    <t>Repeated Interaction (last 2 days)</t>
  </si>
  <si>
    <t>Feedback to Agent (Based on Core Issue)</t>
  </si>
  <si>
    <t>Feedback</t>
  </si>
  <si>
    <t>Agent Name</t>
  </si>
  <si>
    <t>Complince Critical Error</t>
  </si>
  <si>
    <t>Non - Scorable</t>
  </si>
  <si>
    <t>Customer Critical</t>
  </si>
  <si>
    <t>Business Critical</t>
  </si>
  <si>
    <t>Compliance Critical</t>
  </si>
  <si>
    <t>Email Date/Time</t>
  </si>
  <si>
    <t>Main Skill</t>
  </si>
  <si>
    <t>Link</t>
  </si>
  <si>
    <t>Coach Name</t>
  </si>
  <si>
    <t>Mistake Type</t>
  </si>
  <si>
    <t>Sub-Type</t>
  </si>
  <si>
    <t xml:space="preserve">call subcategory logs/tickets </t>
  </si>
  <si>
    <t>Ticket Type and Categorization</t>
  </si>
  <si>
    <t>Softskills</t>
  </si>
  <si>
    <t xml:space="preserve">Call Opening/ Closure </t>
  </si>
  <si>
    <t>Choice of words / Avoid Slang / Technical Terms/ Customer name</t>
  </si>
  <si>
    <t>Tone of voice</t>
  </si>
  <si>
    <t>Showing Empathy / handling objection/Interrupting the Customer</t>
  </si>
  <si>
    <t xml:space="preserve">Active listening </t>
  </si>
  <si>
    <t xml:space="preserve">Customer Profile/ required data/ </t>
  </si>
  <si>
    <t> Correct information provided</t>
  </si>
  <si>
    <t>Missing Information</t>
  </si>
  <si>
    <t>Ticket Escalation and Status</t>
  </si>
  <si>
    <t>Ticket description</t>
  </si>
  <si>
    <t>Transfer Process</t>
  </si>
  <si>
    <t>Professionalism/Attitude</t>
  </si>
  <si>
    <t>Ticket creation and categorization for the closed Interactions</t>
  </si>
  <si>
    <t>Control the call/ Comprehension /</t>
  </si>
  <si>
    <t>Ticketing Tree</t>
  </si>
  <si>
    <t>Showing Empathy / handling objection</t>
  </si>
  <si>
    <t xml:space="preserve">Active listening - interrupting </t>
  </si>
  <si>
    <t xml:space="preserve">Customer Profile/ required data/ creating a ticket </t>
  </si>
  <si>
    <t xml:space="preserve"> Correct information provided (Knowledge)</t>
  </si>
  <si>
    <t>Missing Information (Knowledge)</t>
  </si>
  <si>
    <t xml:space="preserve"> Tickiting tree</t>
  </si>
  <si>
    <t>Compliance (Verification, Policy)</t>
  </si>
  <si>
    <t>Call Duration</t>
  </si>
  <si>
    <t>Caller Number</t>
  </si>
  <si>
    <t xml:space="preserve"> </t>
  </si>
  <si>
    <t>Good call</t>
  </si>
  <si>
    <t>Marwa Mohd Yasin Saybeh</t>
  </si>
  <si>
    <t>Esraa mohammad hasan rabah</t>
  </si>
  <si>
    <t>HMC</t>
  </si>
  <si>
    <t>2min 7s</t>
  </si>
  <si>
    <t>Non Critical</t>
  </si>
  <si>
    <t>Program</t>
  </si>
  <si>
    <t xml:space="preserve">Active listening -Dead Air - Silence gap for more than 10 sec </t>
  </si>
  <si>
    <t>Pass</t>
  </si>
  <si>
    <t>Leen Ziad Mohammad Allaf</t>
  </si>
  <si>
    <t>3min 59s</t>
  </si>
  <si>
    <t>Samer Abdel Monem Naser Alzyoud</t>
  </si>
  <si>
    <t>2min 37s</t>
  </si>
  <si>
    <t>Call Opening - Agent name not clear + Control the call/ Comprehension  - The patient asked to change the hospital for the General Medicine appt from AK to HGH not the Treatment appt</t>
  </si>
  <si>
    <t>Failed</t>
  </si>
  <si>
    <t>Alyaqeen Bassam Shaker Alramamneh</t>
  </si>
  <si>
    <t>2min 39s</t>
  </si>
  <si>
    <t>Active listening -Concentration - There is no Heart Palpitation appt in any other hospital except AK</t>
  </si>
  <si>
    <t>Rawan Anan Abdel Hamed Mohammad</t>
  </si>
  <si>
    <t>3min 9s</t>
  </si>
  <si>
    <t>Tone of voice - Rushing the information + Active listening - Talking over the customer - 3:24</t>
  </si>
  <si>
    <t>Ahmad Said Younis Jaber</t>
  </si>
  <si>
    <t>3min 13s</t>
  </si>
  <si>
    <t>End-user Critical</t>
  </si>
  <si>
    <t>Mahmoud Kamal Hafez Ashour</t>
  </si>
  <si>
    <t>2min 58s</t>
  </si>
  <si>
    <t xml:space="preserve"> Correct information provided (Knowledge) - Wrong info prov - should checked labs working hours and days - AAH works on Saturday</t>
  </si>
  <si>
    <t>Amani Waleed Mohammad Yousef</t>
  </si>
  <si>
    <t>8min 46s</t>
  </si>
  <si>
    <t>Active listening - Concentration - Pt name + Dead Air - Silence gap for more than 10 se + Tone of voice - Not clear</t>
  </si>
  <si>
    <t>Rania Khaldoon Kamel Aljawamis</t>
  </si>
  <si>
    <t>4min 34s</t>
  </si>
  <si>
    <t>Active listening -Concentration - Patient already stated that she was talking about the Children Development Fu appt</t>
  </si>
  <si>
    <t>Sara Nizar Kamal Salameh</t>
  </si>
  <si>
    <t xml:space="preserve"> Correct information provided (Knowledge) - Wrong info prov - Should advise the patient to visit the dept. + Active listening -Interrupting the customer </t>
  </si>
  <si>
    <t>4min 57s</t>
  </si>
  <si>
    <t>Inactive - tone of voice + Talking over the customer - 4:05</t>
  </si>
  <si>
    <t>Shoug Sarjoun Ghaleb Atoom</t>
  </si>
  <si>
    <t>4min 53s</t>
  </si>
  <si>
    <t>7min 26s</t>
  </si>
  <si>
    <t>Leen Mohammad Ibrahem Alsharawneh</t>
  </si>
  <si>
    <t>3min 35s</t>
  </si>
  <si>
    <t>Active listening -Concentration - Patient name</t>
  </si>
  <si>
    <t>Mohammad Nizar Abedalafou Alnathseh</t>
  </si>
  <si>
    <t>9min 36s</t>
  </si>
  <si>
    <t xml:space="preserve">Active listening - Dead air - Silence gap for more than 10 sec </t>
  </si>
  <si>
    <t>Mays Mohd Abedrabbo Alqdeimat</t>
  </si>
  <si>
    <t>2min 10s</t>
  </si>
  <si>
    <t>3min 38s</t>
  </si>
  <si>
    <t xml:space="preserve">Concentration - Pt name sereen not shireen/facility location + Dead Air - silence gap for more than 10 sec 
</t>
  </si>
  <si>
    <t>Omar Akram Mohammad Alrawajbeh</t>
  </si>
  <si>
    <t>2min 16s</t>
  </si>
  <si>
    <t xml:space="preserve"> Customer name - Cuatomer name should be mentioned at least once in the call + Late closure</t>
  </si>
  <si>
    <t>3min 51s</t>
  </si>
  <si>
    <t>Active listening -Talking over the customer 3:31</t>
  </si>
  <si>
    <t>1min 35s</t>
  </si>
  <si>
    <t>4min 6s</t>
  </si>
  <si>
    <t>Active listening -Concentration - phone number is wrong no need to take the name and DOB before conferming the phone number</t>
  </si>
  <si>
    <t>Rahaf Zuhier Saleem Aljariri Alhusan</t>
  </si>
  <si>
    <t>2min 6s</t>
  </si>
  <si>
    <t>1min 8s</t>
  </si>
  <si>
    <t>Missing info - clinic working days.</t>
  </si>
  <si>
    <t>Noor Mohammad Husni Athyabiah</t>
  </si>
  <si>
    <t>3min 24s</t>
  </si>
  <si>
    <t>Active listening - interrupting +  Correct information provided (Knowledge) - Wrong process should follow the NO SHOW PROCESS</t>
  </si>
  <si>
    <t>Farah Mohammad Taye Fqerat Amro</t>
  </si>
  <si>
    <t>3min 16s</t>
  </si>
  <si>
    <t>pass</t>
  </si>
  <si>
    <t>3min 12s</t>
  </si>
  <si>
    <t>Diala Zeyad Abdel Wahab Almasri</t>
  </si>
  <si>
    <t>4min 50s</t>
  </si>
  <si>
    <t xml:space="preserve"> Correct information provided (Knowledge) - Doctor name - Mariam sulaiti not kupasi - Active listening - interrupting </t>
  </si>
  <si>
    <t>7min 31s</t>
  </si>
  <si>
    <t>4min 3s</t>
  </si>
  <si>
    <t>Missing Information (Knowledge) - No action taken in rescheduling the apps script - Should confirm the date and time to the patient again</t>
  </si>
  <si>
    <t>2min 41s</t>
  </si>
  <si>
    <t xml:space="preserve"> Correct information provided (Knowledge) - The emergency pharmacy serves only patients who have been seen in the Emergency Department and is not accessible to outpatient patients.</t>
  </si>
  <si>
    <t>2min 38s</t>
  </si>
  <si>
    <t>Farah Wesam Khalil Abu Joudeh</t>
  </si>
  <si>
    <t>1min 57s</t>
  </si>
  <si>
    <t>Opening script - Rushing the opening</t>
  </si>
  <si>
    <t>4min 1s</t>
  </si>
  <si>
    <t>1min 49s</t>
  </si>
  <si>
    <t>Lilian Mohod Maher Fathi Aladhmi</t>
  </si>
  <si>
    <t>1min 54s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</si>
</sst>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B1dd/mm/yyyy\ hh:mm"/>
  </numFmts>
  <fonts count="34" x14ac:knownFonts="1">
    <font>
      <sz val="11"/>
      <color theme="1"/>
      <name val="Calibri"/>
      <family val="2"/>
      <scheme val="minor"/>
    </font>
    <font>
      <b/>
      <sz val="11"/>
      <color theme="1"/>
      <name val="Calibri"/>
      <family val="2"/>
      <scheme val="minor"/>
    </font>
    <font>
      <b/>
      <sz val="11"/>
      <color theme="0"/>
      <name val="Calibri Light"/>
      <family val="2"/>
      <scheme val="major"/>
    </font>
    <font>
      <b/>
      <sz val="10"/>
      <color theme="0"/>
      <name val="Calibri Light"/>
      <family val="2"/>
      <scheme val="major"/>
    </font>
    <font>
      <b/>
      <sz val="10"/>
      <name val="Calibri Light"/>
      <family val="2"/>
      <scheme val="major"/>
    </font>
    <font>
      <b/>
      <sz val="10"/>
      <color rgb="FF000000"/>
      <name val="Calibri Light"/>
      <family val="2"/>
      <scheme val="major"/>
    </font>
    <font>
      <sz val="11"/>
      <color theme="1"/>
      <name val="Calibri"/>
      <family val="2"/>
      <charset val="178"/>
      <scheme val="minor"/>
    </font>
    <font>
      <sz val="11"/>
      <color theme="1"/>
      <name val="Calibri Light"/>
      <family val="2"/>
    </font>
    <font>
      <b/>
      <sz val="11"/>
      <name val="Calibri Light"/>
      <family val="2"/>
      <scheme val="major"/>
    </font>
    <font>
      <sz val="11"/>
      <color theme="0"/>
      <name val="Calibri"/>
      <family val="2"/>
      <scheme val="minor"/>
    </font>
    <font>
      <sz val="11"/>
      <name val="Calibri"/>
      <family val="2"/>
    </font>
    <font>
      <b/>
      <sz val="10"/>
      <color theme="0"/>
      <name val="Calibri"/>
      <family val="2"/>
    </font>
    <font>
      <sz val="10"/>
      <name val="Arial"/>
      <family val="2"/>
    </font>
    <font>
      <sz val="9"/>
      <color theme="1"/>
      <name val="Calibri"/>
      <family val="2"/>
      <scheme val="minor"/>
    </font>
    <font>
      <b/>
      <sz val="12"/>
      <color theme="1"/>
      <name val="Calibri"/>
      <family val="2"/>
      <scheme val="minor"/>
    </font>
    <font>
      <sz val="11"/>
      <color theme="1"/>
      <name val="Calibri"/>
      <family val="2"/>
      <scheme val="minor"/>
    </font>
    <font>
      <b/>
      <sz val="9"/>
      <color theme="1"/>
      <name val="Calibri Light"/>
      <family val="1"/>
      <scheme val="major"/>
    </font>
    <font>
      <b/>
      <sz val="11"/>
      <color theme="0"/>
      <name val="Calibri"/>
      <family val="2"/>
    </font>
    <font>
      <b/>
      <sz val="12"/>
      <color theme="0"/>
      <name val="Calibri Light"/>
      <family val="2"/>
      <scheme val="major"/>
    </font>
    <font>
      <sz val="11"/>
      <color theme="1" tint="0.14999847407452621"/>
      <name val="Calibri"/>
      <family val="2"/>
      <charset val="178"/>
      <scheme val="minor"/>
    </font>
    <font>
      <b/>
      <sz val="11"/>
      <color theme="0"/>
      <name val="Calibri Light"/>
      <family val="2"/>
    </font>
    <font>
      <sz val="11"/>
      <color theme="1"/>
      <name val="Times New Roman"/>
      <family val="1"/>
    </font>
    <font>
      <sz val="10"/>
      <color theme="1"/>
      <name val="Calibri Light"/>
      <family val="1"/>
      <scheme val="major"/>
    </font>
    <font>
      <sz val="10"/>
      <color theme="1"/>
      <name val="Times New Roman"/>
      <family val="1"/>
    </font>
    <font>
      <b/>
      <sz val="10"/>
      <color theme="0"/>
      <name val="Calibri Light"/>
      <family val="2"/>
    </font>
    <font>
      <b/>
      <sz val="11"/>
      <name val="Calibri Light"/>
      <family val="2"/>
    </font>
    <font>
      <sz val="11"/>
      <name val="Calibri Light"/>
      <family val="2"/>
    </font>
    <font>
      <b/>
      <sz val="16"/>
      <color theme="0"/>
      <name val="Calibri Light"/>
      <family val="2"/>
    </font>
    <font>
      <sz val="11"/>
      <color rgb="FF000000"/>
      <name val="Calibri Light"/>
      <family val="2"/>
    </font>
    <font>
      <sz val="11"/>
      <color theme="1"/>
      <name val="Calibri"/>
      <family val="2"/>
      <scheme val="minor"/>
    </font>
    <font>
      <sz val="11"/>
      <color theme="1"/>
      <name val="Calibri"/>
      <family val="2"/>
      <charset val="1"/>
      <scheme val="minor"/>
    </font>
    <font>
      <u/>
      <sz val="11"/>
      <color theme="10"/>
      <name val="Calibri"/>
      <family val="2"/>
      <scheme val="minor"/>
    </font>
    <font>
      <u/>
      <sz val="11"/>
      <color theme="10"/>
      <name val="Calibri"/>
      <family val="2"/>
      <charset val="1"/>
      <scheme val="minor"/>
    </font>
    <font>
      <sz val="11"/>
      <color indexed="8"/>
      <name val="Calibri"/>
      <family val="2"/>
      <scheme val="minor"/>
    </font>
  </fonts>
  <fills count="24">
    <fill>
      <patternFill patternType="none"/>
    </fill>
    <fill>
      <patternFill patternType="gray125"/>
    </fill>
    <fill>
      <patternFill patternType="solid">
        <fgColor theme="9" tint="0.39997558519241921"/>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theme="5"/>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rgb="FFFF6600"/>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9" tint="0.79998168889431442"/>
        <bgColor rgb="FFD8D8D8"/>
      </patternFill>
    </fill>
    <fill>
      <patternFill patternType="solid">
        <fgColor theme="1" tint="0.14999847407452621"/>
        <bgColor rgb="FFD8D8D8"/>
      </patternFill>
    </fill>
    <fill>
      <patternFill patternType="solid">
        <fgColor rgb="FFFF6600"/>
        <bgColor rgb="FFD8D8D8"/>
      </patternFill>
    </fill>
    <fill>
      <patternFill patternType="solid">
        <fgColor rgb="FFFD6719"/>
        <bgColor indexed="64"/>
      </patternFill>
    </fill>
    <fill>
      <patternFill patternType="solid">
        <fgColor theme="0"/>
        <bgColor indexed="64"/>
      </patternFill>
    </fill>
    <fill>
      <patternFill patternType="solid">
        <fgColor theme="1" tint="0.34998626667073579"/>
        <bgColor rgb="FFD8D8D8"/>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FFFF00"/>
        <bgColor indexed="64"/>
      </patternFill>
    </fill>
    <fill>
      <patternFill patternType="solid">
        <fgColor theme="5" tint="0.59999389629810485"/>
        <bgColor indexed="64"/>
      </patternFill>
    </fill>
  </fills>
  <borders count="11">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s>
  <cellStyleXfs count="8621">
    <xf numFmtId="0" fontId="0" fillId="0" borderId="0"/>
    <xf numFmtId="0" fontId="6" fillId="0" borderId="0"/>
    <xf numFmtId="0" fontId="12" fillId="0" borderId="0" applyNumberFormat="0" applyFill="0" applyBorder="0" applyAlignment="0" applyProtection="0"/>
    <xf numFmtId="9" fontId="15" fillId="0" borderId="0" applyFont="0" applyFill="0" applyBorder="0" applyAlignment="0" applyProtection="0"/>
    <xf numFmtId="9" fontId="6" fillId="0" borderId="0" applyFont="0" applyFill="0" applyBorder="0" applyAlignment="0" applyProtection="0"/>
    <xf numFmtId="0" fontId="15" fillId="0" borderId="0"/>
    <xf numFmtId="0" fontId="29"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1" fillId="0" borderId="0" applyNumberForma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31" fillId="0" borderId="0" applyNumberFormat="0" applyFill="0" applyBorder="0" applyAlignment="0" applyProtection="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30" fillId="0" borderId="0"/>
    <xf numFmtId="0" fontId="32" fillId="0" borderId="0" applyNumberForma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30" fillId="0" borderId="0"/>
    <xf numFmtId="0" fontId="15" fillId="0" borderId="0"/>
    <xf numFmtId="0" fontId="31"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5"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5" fillId="0" borderId="0"/>
    <xf numFmtId="0" fontId="31"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5"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5" fillId="0" borderId="0"/>
    <xf numFmtId="0" fontId="30" fillId="0" borderId="0"/>
    <xf numFmtId="0" fontId="30" fillId="0" borderId="0"/>
    <xf numFmtId="0" fontId="30"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3" fillId="0" borderId="0"/>
  </cellStyleXfs>
  <cellXfs count="99">
    <xf numFmtId="0" fontId="0" fillId="0" borderId="0" xfId="0"/>
    <xf numFmtId="0" fontId="1" fillId="0" borderId="0" xfId="0" applyFont="1"/>
    <xf numFmtId="0" fontId="7" fillId="0" borderId="2" xfId="1" applyFont="1" applyBorder="1" applyAlignment="1">
      <alignment horizontal="center" vertical="center"/>
    </xf>
    <xf numFmtId="0" fontId="7" fillId="0" borderId="4" xfId="1" applyFont="1" applyFill="1" applyBorder="1" applyAlignment="1">
      <alignment horizontal="center" vertical="center"/>
    </xf>
    <xf numFmtId="0" fontId="0" fillId="0" borderId="2" xfId="0" applyBorder="1"/>
    <xf numFmtId="0" fontId="0" fillId="3" borderId="2" xfId="0" applyFill="1" applyBorder="1" applyAlignment="1">
      <alignment vertical="center"/>
    </xf>
    <xf numFmtId="0" fontId="0" fillId="2" borderId="2" xfId="0" applyFill="1" applyBorder="1" applyAlignment="1">
      <alignment vertical="center"/>
    </xf>
    <xf numFmtId="0" fontId="0" fillId="8" borderId="2" xfId="0" applyFill="1" applyBorder="1" applyAlignment="1">
      <alignment vertical="center"/>
    </xf>
    <xf numFmtId="0" fontId="0" fillId="5" borderId="2" xfId="0" applyFill="1" applyBorder="1" applyAlignment="1">
      <alignment vertical="center"/>
    </xf>
    <xf numFmtId="0" fontId="0" fillId="6" borderId="2" xfId="0" applyFill="1" applyBorder="1" applyAlignment="1">
      <alignment vertical="center"/>
    </xf>
    <xf numFmtId="0" fontId="0" fillId="7" borderId="2" xfId="0" applyFill="1" applyBorder="1" applyAlignment="1">
      <alignment vertical="center"/>
    </xf>
    <xf numFmtId="0" fontId="0" fillId="3" borderId="1" xfId="0" applyFill="1" applyBorder="1" applyAlignment="1">
      <alignment vertical="center"/>
    </xf>
    <xf numFmtId="0" fontId="0" fillId="2" borderId="1" xfId="0" applyFill="1" applyBorder="1" applyAlignment="1">
      <alignment vertical="center"/>
    </xf>
    <xf numFmtId="0" fontId="0" fillId="8" borderId="1" xfId="0" applyFill="1" applyBorder="1" applyAlignment="1">
      <alignment vertical="center"/>
    </xf>
    <xf numFmtId="0" fontId="0" fillId="5" borderId="1" xfId="0" applyFill="1" applyBorder="1" applyAlignment="1">
      <alignment vertical="center"/>
    </xf>
    <xf numFmtId="0" fontId="0" fillId="6" borderId="1" xfId="0" applyFill="1" applyBorder="1" applyAlignment="1">
      <alignment vertical="center"/>
    </xf>
    <xf numFmtId="0" fontId="0" fillId="7" borderId="1" xfId="0" applyFill="1" applyBorder="1" applyAlignment="1">
      <alignment vertical="center"/>
    </xf>
    <xf numFmtId="0" fontId="9" fillId="9" borderId="1" xfId="0" applyFont="1" applyFill="1" applyBorder="1"/>
    <xf numFmtId="0" fontId="0" fillId="5" borderId="2" xfId="0" applyFill="1" applyBorder="1" applyAlignment="1">
      <alignment vertical="center" wrapText="1"/>
    </xf>
    <xf numFmtId="0" fontId="0" fillId="4" borderId="2" xfId="0" applyFill="1" applyBorder="1" applyAlignment="1">
      <alignment vertical="center"/>
    </xf>
    <xf numFmtId="0" fontId="7" fillId="0" borderId="2" xfId="1" applyFont="1" applyFill="1" applyBorder="1" applyAlignment="1">
      <alignment horizontal="center" vertical="center"/>
    </xf>
    <xf numFmtId="0" fontId="0" fillId="0" borderId="0" xfId="0" applyAlignment="1">
      <alignment horizontal="center" vertical="center"/>
    </xf>
    <xf numFmtId="0" fontId="11" fillId="11" borderId="2" xfId="0" applyFont="1" applyFill="1" applyBorder="1" applyAlignment="1" applyProtection="1">
      <alignment horizontal="left" vertical="center"/>
      <protection locked="0"/>
    </xf>
    <xf numFmtId="0" fontId="5" fillId="12" borderId="2" xfId="0" applyFont="1" applyFill="1" applyBorder="1" applyAlignment="1" applyProtection="1">
      <alignment horizontal="center" vertical="center"/>
      <protection locked="0"/>
    </xf>
    <xf numFmtId="0" fontId="8" fillId="13" borderId="2" xfId="0" applyFont="1" applyFill="1" applyBorder="1" applyAlignment="1" applyProtection="1">
      <alignment horizontal="center" vertical="center"/>
      <protection locked="0"/>
    </xf>
    <xf numFmtId="0" fontId="2" fillId="14" borderId="2" xfId="0" applyFont="1" applyFill="1" applyBorder="1" applyAlignment="1" applyProtection="1">
      <alignment horizontal="center" vertical="center"/>
      <protection locked="0"/>
    </xf>
    <xf numFmtId="0" fontId="2" fillId="15" borderId="2" xfId="0" applyFont="1" applyFill="1" applyBorder="1" applyAlignment="1" applyProtection="1">
      <alignment horizontal="center" vertical="center"/>
      <protection locked="0"/>
    </xf>
    <xf numFmtId="9" fontId="4" fillId="0" borderId="2" xfId="0" applyNumberFormat="1" applyFont="1" applyBorder="1" applyAlignment="1" applyProtection="1">
      <alignment horizontal="center" vertical="center"/>
      <protection hidden="1"/>
    </xf>
    <xf numFmtId="0" fontId="0" fillId="0" borderId="0" xfId="0" applyProtection="1">
      <protection hidden="1"/>
    </xf>
    <xf numFmtId="0" fontId="14" fillId="2" borderId="2" xfId="0" applyFont="1" applyFill="1" applyBorder="1" applyAlignment="1">
      <alignment horizontal="center" vertical="center" wrapText="1"/>
    </xf>
    <xf numFmtId="0" fontId="13" fillId="0" borderId="2" xfId="0" applyFont="1" applyBorder="1" applyAlignment="1">
      <alignment horizontal="left" vertical="center" wrapText="1"/>
    </xf>
    <xf numFmtId="0" fontId="13" fillId="17" borderId="2" xfId="0" applyFont="1" applyFill="1" applyBorder="1" applyAlignment="1">
      <alignment horizontal="left" vertical="center"/>
    </xf>
    <xf numFmtId="0" fontId="13" fillId="0" borderId="2" xfId="0" applyFont="1" applyBorder="1" applyAlignment="1">
      <alignment horizontal="left" vertical="center"/>
    </xf>
    <xf numFmtId="0" fontId="0" fillId="17" borderId="2" xfId="0" applyFill="1" applyBorder="1" applyAlignment="1">
      <alignment vertical="center" wrapText="1"/>
    </xf>
    <xf numFmtId="0" fontId="0" fillId="17" borderId="2" xfId="0" applyFill="1" applyBorder="1" applyAlignment="1">
      <alignment vertical="center"/>
    </xf>
    <xf numFmtId="0" fontId="0" fillId="0" borderId="0" xfId="0" applyFill="1" applyBorder="1"/>
    <xf numFmtId="0" fontId="2" fillId="18" borderId="2" xfId="0" applyFont="1" applyFill="1" applyBorder="1" applyAlignment="1" applyProtection="1">
      <alignment horizontal="center" vertical="center"/>
      <protection locked="0"/>
    </xf>
    <xf numFmtId="0" fontId="16" fillId="19" borderId="2" xfId="0" applyFont="1" applyFill="1" applyBorder="1" applyAlignment="1">
      <alignment horizontal="center" vertical="center" wrapText="1"/>
    </xf>
    <xf numFmtId="0" fontId="13" fillId="0" borderId="2" xfId="0" applyFont="1" applyBorder="1"/>
    <xf numFmtId="0" fontId="14" fillId="2" borderId="2" xfId="0" applyFont="1" applyFill="1" applyBorder="1" applyAlignment="1">
      <alignment vertical="center"/>
    </xf>
    <xf numFmtId="9" fontId="3" fillId="10" borderId="3" xfId="0" applyNumberFormat="1" applyFont="1" applyFill="1" applyBorder="1" applyAlignment="1" applyProtection="1">
      <alignment horizontal="center" vertical="center"/>
      <protection hidden="1"/>
    </xf>
    <xf numFmtId="9" fontId="3" fillId="11" borderId="3" xfId="0" applyNumberFormat="1" applyFont="1" applyFill="1" applyBorder="1" applyAlignment="1" applyProtection="1">
      <alignment horizontal="center" vertical="center"/>
      <protection hidden="1"/>
    </xf>
    <xf numFmtId="0" fontId="17" fillId="21" borderId="2" xfId="0" applyFont="1" applyFill="1" applyBorder="1" applyAlignment="1">
      <alignment horizontal="center" vertical="center"/>
    </xf>
    <xf numFmtId="0" fontId="10" fillId="0" borderId="2" xfId="0" applyFont="1" applyFill="1" applyBorder="1" applyAlignment="1">
      <alignment horizontal="center" vertical="center"/>
    </xf>
    <xf numFmtId="0" fontId="19" fillId="0" borderId="2" xfId="0" applyFont="1" applyBorder="1" applyAlignment="1">
      <alignment horizontal="center" vertical="center"/>
    </xf>
    <xf numFmtId="0" fontId="18" fillId="16" borderId="2" xfId="0" applyFont="1" applyFill="1" applyBorder="1" applyAlignment="1">
      <alignment horizontal="center" vertical="center"/>
    </xf>
    <xf numFmtId="0" fontId="21" fillId="0" borderId="2" xfId="0" applyFont="1" applyBorder="1" applyAlignment="1" applyProtection="1">
      <alignment horizontal="center"/>
      <protection locked="0"/>
    </xf>
    <xf numFmtId="0" fontId="22" fillId="0" borderId="2" xfId="0" applyFont="1" applyBorder="1" applyAlignment="1" applyProtection="1">
      <alignment horizontal="center" vertical="center"/>
      <protection locked="0"/>
    </xf>
    <xf numFmtId="0" fontId="0" fillId="0" borderId="0" xfId="0" applyAlignment="1">
      <alignment horizontal="center"/>
    </xf>
    <xf numFmtId="0" fontId="23" fillId="17" borderId="2" xfId="0" applyFont="1" applyFill="1" applyBorder="1" applyAlignment="1">
      <alignment horizontal="center" vertical="center" wrapText="1"/>
    </xf>
    <xf numFmtId="14" fontId="23" fillId="17" borderId="2" xfId="0" applyNumberFormat="1" applyFont="1" applyFill="1" applyBorder="1" applyAlignment="1">
      <alignment horizontal="center" vertical="center" wrapText="1"/>
    </xf>
    <xf numFmtId="164" fontId="23" fillId="17" borderId="2" xfId="0" applyNumberFormat="1" applyFont="1" applyFill="1" applyBorder="1" applyAlignment="1">
      <alignment horizontal="center" vertical="center" wrapText="1"/>
    </xf>
    <xf numFmtId="2" fontId="0" fillId="0" borderId="2" xfId="3" applyNumberFormat="1" applyFont="1" applyBorder="1" applyAlignment="1" applyProtection="1">
      <alignment horizontal="center" vertical="center"/>
    </xf>
    <xf numFmtId="0" fontId="0" fillId="0" borderId="2" xfId="0" applyBorder="1" applyAlignment="1" applyProtection="1">
      <alignment horizontal="center" vertical="center"/>
    </xf>
    <xf numFmtId="0" fontId="7" fillId="0" borderId="0" xfId="0" applyFont="1" applyBorder="1"/>
    <xf numFmtId="0" fontId="7" fillId="0" borderId="0" xfId="0" applyFont="1"/>
    <xf numFmtId="0" fontId="24" fillId="11" borderId="2" xfId="0" applyFont="1" applyFill="1" applyBorder="1" applyAlignment="1" applyProtection="1">
      <alignment horizontal="left" vertical="center"/>
      <protection locked="0"/>
    </xf>
    <xf numFmtId="0" fontId="25" fillId="13" borderId="2" xfId="0" applyFont="1" applyFill="1" applyBorder="1" applyAlignment="1" applyProtection="1">
      <alignment horizontal="center" vertical="center"/>
      <protection locked="0"/>
    </xf>
    <xf numFmtId="0" fontId="20" fillId="18" borderId="2" xfId="0" applyFont="1" applyFill="1" applyBorder="1" applyAlignment="1" applyProtection="1">
      <alignment horizontal="center" vertical="center"/>
      <protection locked="0"/>
    </xf>
    <xf numFmtId="0" fontId="20" fillId="15" borderId="2" xfId="0" applyFont="1" applyFill="1" applyBorder="1" applyAlignment="1" applyProtection="1">
      <alignment horizontal="center" vertical="center"/>
      <protection locked="0"/>
    </xf>
    <xf numFmtId="14" fontId="7" fillId="0" borderId="2" xfId="0" applyNumberFormat="1" applyFont="1" applyBorder="1"/>
    <xf numFmtId="0" fontId="7" fillId="0" borderId="2" xfId="0" applyFont="1" applyBorder="1"/>
    <xf numFmtId="164" fontId="7" fillId="0" borderId="2" xfId="0" applyNumberFormat="1" applyFont="1" applyBorder="1"/>
    <xf numFmtId="0" fontId="7" fillId="0" borderId="1" xfId="0" applyFont="1" applyBorder="1"/>
    <xf numFmtId="0" fontId="26" fillId="0" borderId="2" xfId="0" applyFont="1" applyFill="1" applyBorder="1" applyAlignment="1">
      <alignment horizontal="center" vertical="center"/>
    </xf>
    <xf numFmtId="2" fontId="7" fillId="0" borderId="2" xfId="0" applyNumberFormat="1" applyFont="1" applyBorder="1"/>
    <xf numFmtId="0" fontId="28" fillId="0" borderId="2" xfId="0" applyFont="1" applyBorder="1"/>
    <xf numFmtId="0" fontId="7" fillId="0" borderId="2" xfId="0" applyFont="1" applyBorder="1" applyAlignment="1">
      <alignment wrapText="1"/>
    </xf>
    <xf numFmtId="0" fontId="7" fillId="22" borderId="2" xfId="0" applyFont="1" applyFill="1" applyBorder="1"/>
    <xf numFmtId="0" fontId="5" fillId="12" borderId="2" xfId="0" applyFont="1" applyFill="1" applyBorder="1" applyAlignment="1" applyProtection="1">
      <alignment horizontal="center" vertical="center" wrapText="1"/>
      <protection locked="0"/>
    </xf>
    <xf numFmtId="14" fontId="7" fillId="23" borderId="2" xfId="0" applyNumberFormat="1" applyFont="1" applyFill="1" applyBorder="1"/>
    <xf numFmtId="0" fontId="7" fillId="23" borderId="2" xfId="0" applyFont="1" applyFill="1" applyBorder="1"/>
    <xf numFmtId="164" fontId="7" fillId="23" borderId="2" xfId="0" applyNumberFormat="1" applyFont="1" applyFill="1" applyBorder="1"/>
    <xf numFmtId="2" fontId="7" fillId="23" borderId="2" xfId="0" applyNumberFormat="1" applyFont="1" applyFill="1" applyBorder="1"/>
    <xf numFmtId="0" fontId="7" fillId="23" borderId="0" xfId="0" applyFont="1" applyFill="1"/>
    <xf numFmtId="0" fontId="26" fillId="23" borderId="2" xfId="0" applyFont="1" applyFill="1" applyBorder="1" applyAlignment="1">
      <alignment horizontal="center" vertical="center"/>
    </xf>
    <xf numFmtId="0" fontId="0" fillId="0" borderId="2" xfId="0" applyBorder="1" applyAlignment="1">
      <alignment horizontal="center"/>
    </xf>
    <xf numFmtId="0" fontId="0" fillId="0" borderId="10" xfId="0" applyBorder="1" applyAlignment="1">
      <alignment horizontal="center"/>
    </xf>
    <xf numFmtId="0" fontId="1" fillId="0" borderId="0" xfId="0" applyFont="1" applyAlignment="1">
      <alignment horizontal="center"/>
    </xf>
    <xf numFmtId="0" fontId="16" fillId="19" borderId="2" xfId="0" applyFont="1" applyFill="1" applyBorder="1" applyAlignment="1">
      <alignment horizontal="center" vertical="center" wrapText="1"/>
    </xf>
    <xf numFmtId="0" fontId="1" fillId="20" borderId="5" xfId="0" applyFont="1" applyFill="1" applyBorder="1" applyAlignment="1">
      <alignment horizontal="center" vertical="center" wrapText="1"/>
    </xf>
    <xf numFmtId="0" fontId="1" fillId="20" borderId="4" xfId="0" applyFont="1" applyFill="1" applyBorder="1" applyAlignment="1">
      <alignment horizontal="center" vertical="center" wrapText="1"/>
    </xf>
    <xf numFmtId="0" fontId="16" fillId="19" borderId="5" xfId="0" applyFont="1" applyFill="1" applyBorder="1" applyAlignment="1">
      <alignment horizontal="center" vertical="center" wrapText="1"/>
    </xf>
    <xf numFmtId="0" fontId="16" fillId="19" borderId="4" xfId="0" applyFont="1" applyFill="1" applyBorder="1" applyAlignment="1">
      <alignment horizontal="center" vertical="center" wrapText="1"/>
    </xf>
    <xf numFmtId="0" fontId="16" fillId="19" borderId="10" xfId="0" applyFont="1" applyFill="1" applyBorder="1" applyAlignment="1">
      <alignment horizontal="center" vertical="center" wrapText="1"/>
    </xf>
    <xf numFmtId="0" fontId="1" fillId="20" borderId="2" xfId="0" applyFont="1" applyFill="1" applyBorder="1" applyAlignment="1">
      <alignment horizontal="center" vertical="center" wrapText="1"/>
    </xf>
    <xf numFmtId="0" fontId="18" fillId="16" borderId="5" xfId="0" applyFont="1" applyFill="1" applyBorder="1" applyAlignment="1">
      <alignment horizontal="center" vertical="center" wrapText="1"/>
    </xf>
    <xf numFmtId="0" fontId="18" fillId="16" borderId="4" xfId="0" applyFont="1" applyFill="1" applyBorder="1" applyAlignment="1">
      <alignment horizontal="center" vertical="center" wrapText="1"/>
    </xf>
    <xf numFmtId="0" fontId="18" fillId="16" borderId="10" xfId="0" applyFont="1" applyFill="1" applyBorder="1" applyAlignment="1">
      <alignment horizontal="center" vertical="center" wrapText="1"/>
    </xf>
    <xf numFmtId="0" fontId="19" fillId="0" borderId="5" xfId="0" applyFont="1" applyBorder="1" applyAlignment="1">
      <alignment horizontal="center" vertical="center"/>
    </xf>
    <xf numFmtId="0" fontId="19" fillId="0" borderId="4" xfId="0" applyFont="1" applyBorder="1" applyAlignment="1">
      <alignment horizontal="center" vertical="center"/>
    </xf>
    <xf numFmtId="0" fontId="19" fillId="0" borderId="10" xfId="0" applyFont="1" applyBorder="1" applyAlignment="1">
      <alignment horizontal="center" vertical="center"/>
    </xf>
    <xf numFmtId="0" fontId="0" fillId="12" borderId="9" xfId="0" applyFill="1" applyBorder="1" applyAlignment="1" applyProtection="1">
      <alignment horizontal="center"/>
      <protection hidden="1"/>
    </xf>
    <xf numFmtId="0" fontId="19" fillId="0" borderId="2" xfId="0" applyFont="1" applyBorder="1" applyAlignment="1">
      <alignment horizontal="center" vertical="center"/>
    </xf>
    <xf numFmtId="0" fontId="18" fillId="16" borderId="2" xfId="0" applyFont="1" applyFill="1" applyBorder="1" applyAlignment="1">
      <alignment horizontal="center" vertical="center" wrapText="1"/>
    </xf>
    <xf numFmtId="14" fontId="27" fillId="11" borderId="7" xfId="0" applyNumberFormat="1" applyFont="1" applyFill="1" applyBorder="1" applyAlignment="1" applyProtection="1">
      <alignment horizontal="center" vertical="center"/>
      <protection locked="0"/>
    </xf>
    <xf numFmtId="0" fontId="27" fillId="11" borderId="8" xfId="0" applyFont="1" applyFill="1" applyBorder="1" applyAlignment="1" applyProtection="1">
      <alignment horizontal="center" vertical="center"/>
      <protection locked="0"/>
    </xf>
    <xf numFmtId="0" fontId="27" fillId="11" borderId="6" xfId="0" applyFont="1" applyFill="1" applyBorder="1" applyAlignment="1" applyProtection="1">
      <alignment horizontal="center" vertical="center"/>
      <protection locked="0"/>
    </xf>
    <xf numFmtId="0" fontId="27" fillId="11" borderId="0" xfId="0" applyFont="1" applyFill="1" applyBorder="1" applyAlignment="1" applyProtection="1">
      <alignment horizontal="center" vertical="center"/>
      <protection locked="0"/>
    </xf>
  </cellXfs>
  <cellStyles count="8621">
    <cellStyle name="Hyperlink 2" xfId="92" xr:uid="{00000000-0005-0000-0000-000000000000}"/>
    <cellStyle name="Hyperlink 3" xfId="540" xr:uid="{00000000-0005-0000-0000-000001000000}"/>
    <cellStyle name="Hyperlink 4" xfId="4252" xr:uid="{00000000-0005-0000-0000-000002000000}"/>
    <cellStyle name="Hyperlink 5" xfId="8499" xr:uid="{00000000-0005-0000-0000-000003000000}"/>
    <cellStyle name="Hyperlink 6" xfId="8536" xr:uid="{00000000-0005-0000-0000-000004000000}"/>
    <cellStyle name="Normal" xfId="0" builtinId="0"/>
    <cellStyle name="Normal 10" xfId="15" xr:uid="{00000000-0005-0000-0000-000006000000}"/>
    <cellStyle name="Normal 10 10" xfId="2139" xr:uid="{00000000-0005-0000-0000-000007000000}"/>
    <cellStyle name="Normal 10 10 2" xfId="6385" xr:uid="{00000000-0005-0000-0000-000008000000}"/>
    <cellStyle name="Normal 10 11" xfId="4263" xr:uid="{00000000-0005-0000-0000-000009000000}"/>
    <cellStyle name="Normal 10 2" xfId="26" xr:uid="{00000000-0005-0000-0000-00000A000000}"/>
    <cellStyle name="Normal 10 2 10" xfId="4274" xr:uid="{00000000-0005-0000-0000-00000B000000}"/>
    <cellStyle name="Normal 10 2 2" xfId="47" xr:uid="{00000000-0005-0000-0000-00000C000000}"/>
    <cellStyle name="Normal 10 2 2 2" xfId="133" xr:uid="{00000000-0005-0000-0000-00000D000000}"/>
    <cellStyle name="Normal 10 2 2 2 2" xfId="264" xr:uid="{00000000-0005-0000-0000-00000E000000}"/>
    <cellStyle name="Normal 10 2 2 2 2 2" xfId="527" xr:uid="{00000000-0005-0000-0000-00000F000000}"/>
    <cellStyle name="Normal 10 2 2 2 2 2 2" xfId="1057" xr:uid="{00000000-0005-0000-0000-000010000000}"/>
    <cellStyle name="Normal 10 2 2 2 2 2 2 2" xfId="2116" xr:uid="{00000000-0005-0000-0000-000011000000}"/>
    <cellStyle name="Normal 10 2 2 2 2 2 2 2 2" xfId="4238" xr:uid="{00000000-0005-0000-0000-000012000000}"/>
    <cellStyle name="Normal 10 2 2 2 2 2 2 2 2 2" xfId="8484" xr:uid="{00000000-0005-0000-0000-000013000000}"/>
    <cellStyle name="Normal 10 2 2 2 2 2 2 2 3" xfId="6362" xr:uid="{00000000-0005-0000-0000-000014000000}"/>
    <cellStyle name="Normal 10 2 2 2 2 2 2 3" xfId="3179" xr:uid="{00000000-0005-0000-0000-000015000000}"/>
    <cellStyle name="Normal 10 2 2 2 2 2 2 3 2" xfId="7425" xr:uid="{00000000-0005-0000-0000-000016000000}"/>
    <cellStyle name="Normal 10 2 2 2 2 2 2 4" xfId="5303" xr:uid="{00000000-0005-0000-0000-000017000000}"/>
    <cellStyle name="Normal 10 2 2 2 2 2 3" xfId="1587" xr:uid="{00000000-0005-0000-0000-000018000000}"/>
    <cellStyle name="Normal 10 2 2 2 2 2 3 2" xfId="3709" xr:uid="{00000000-0005-0000-0000-000019000000}"/>
    <cellStyle name="Normal 10 2 2 2 2 2 3 2 2" xfId="7955" xr:uid="{00000000-0005-0000-0000-00001A000000}"/>
    <cellStyle name="Normal 10 2 2 2 2 2 3 3" xfId="5833" xr:uid="{00000000-0005-0000-0000-00001B000000}"/>
    <cellStyle name="Normal 10 2 2 2 2 2 4" xfId="2650" xr:uid="{00000000-0005-0000-0000-00001C000000}"/>
    <cellStyle name="Normal 10 2 2 2 2 2 4 2" xfId="6896" xr:uid="{00000000-0005-0000-0000-00001D000000}"/>
    <cellStyle name="Normal 10 2 2 2 2 2 5" xfId="4774" xr:uid="{00000000-0005-0000-0000-00001E000000}"/>
    <cellStyle name="Normal 10 2 2 2 2 3" xfId="794" xr:uid="{00000000-0005-0000-0000-00001F000000}"/>
    <cellStyle name="Normal 10 2 2 2 2 3 2" xfId="1853" xr:uid="{00000000-0005-0000-0000-000020000000}"/>
    <cellStyle name="Normal 10 2 2 2 2 3 2 2" xfId="3975" xr:uid="{00000000-0005-0000-0000-000021000000}"/>
    <cellStyle name="Normal 10 2 2 2 2 3 2 2 2" xfId="8221" xr:uid="{00000000-0005-0000-0000-000022000000}"/>
    <cellStyle name="Normal 10 2 2 2 2 3 2 3" xfId="6099" xr:uid="{00000000-0005-0000-0000-000023000000}"/>
    <cellStyle name="Normal 10 2 2 2 2 3 3" xfId="2916" xr:uid="{00000000-0005-0000-0000-000024000000}"/>
    <cellStyle name="Normal 10 2 2 2 2 3 3 2" xfId="7162" xr:uid="{00000000-0005-0000-0000-000025000000}"/>
    <cellStyle name="Normal 10 2 2 2 2 3 4" xfId="5040" xr:uid="{00000000-0005-0000-0000-000026000000}"/>
    <cellStyle name="Normal 10 2 2 2 2 4" xfId="1324" xr:uid="{00000000-0005-0000-0000-000027000000}"/>
    <cellStyle name="Normal 10 2 2 2 2 4 2" xfId="3446" xr:uid="{00000000-0005-0000-0000-000028000000}"/>
    <cellStyle name="Normal 10 2 2 2 2 4 2 2" xfId="7692" xr:uid="{00000000-0005-0000-0000-000029000000}"/>
    <cellStyle name="Normal 10 2 2 2 2 4 3" xfId="5570" xr:uid="{00000000-0005-0000-0000-00002A000000}"/>
    <cellStyle name="Normal 10 2 2 2 2 5" xfId="2387" xr:uid="{00000000-0005-0000-0000-00002B000000}"/>
    <cellStyle name="Normal 10 2 2 2 2 5 2" xfId="6633" xr:uid="{00000000-0005-0000-0000-00002C000000}"/>
    <cellStyle name="Normal 10 2 2 2 2 6" xfId="4511" xr:uid="{00000000-0005-0000-0000-00002D000000}"/>
    <cellStyle name="Normal 10 2 2 2 3" xfId="396" xr:uid="{00000000-0005-0000-0000-00002E000000}"/>
    <cellStyle name="Normal 10 2 2 2 3 2" xfId="926" xr:uid="{00000000-0005-0000-0000-00002F000000}"/>
    <cellStyle name="Normal 10 2 2 2 3 2 2" xfId="1985" xr:uid="{00000000-0005-0000-0000-000030000000}"/>
    <cellStyle name="Normal 10 2 2 2 3 2 2 2" xfId="4107" xr:uid="{00000000-0005-0000-0000-000031000000}"/>
    <cellStyle name="Normal 10 2 2 2 3 2 2 2 2" xfId="8353" xr:uid="{00000000-0005-0000-0000-000032000000}"/>
    <cellStyle name="Normal 10 2 2 2 3 2 2 3" xfId="6231" xr:uid="{00000000-0005-0000-0000-000033000000}"/>
    <cellStyle name="Normal 10 2 2 2 3 2 3" xfId="3048" xr:uid="{00000000-0005-0000-0000-000034000000}"/>
    <cellStyle name="Normal 10 2 2 2 3 2 3 2" xfId="7294" xr:uid="{00000000-0005-0000-0000-000035000000}"/>
    <cellStyle name="Normal 10 2 2 2 3 2 4" xfId="5172" xr:uid="{00000000-0005-0000-0000-000036000000}"/>
    <cellStyle name="Normal 10 2 2 2 3 3" xfId="1456" xr:uid="{00000000-0005-0000-0000-000037000000}"/>
    <cellStyle name="Normal 10 2 2 2 3 3 2" xfId="3578" xr:uid="{00000000-0005-0000-0000-000038000000}"/>
    <cellStyle name="Normal 10 2 2 2 3 3 2 2" xfId="7824" xr:uid="{00000000-0005-0000-0000-000039000000}"/>
    <cellStyle name="Normal 10 2 2 2 3 3 3" xfId="5702" xr:uid="{00000000-0005-0000-0000-00003A000000}"/>
    <cellStyle name="Normal 10 2 2 2 3 4" xfId="2519" xr:uid="{00000000-0005-0000-0000-00003B000000}"/>
    <cellStyle name="Normal 10 2 2 2 3 4 2" xfId="6765" xr:uid="{00000000-0005-0000-0000-00003C000000}"/>
    <cellStyle name="Normal 10 2 2 2 3 5" xfId="4643" xr:uid="{00000000-0005-0000-0000-00003D000000}"/>
    <cellStyle name="Normal 10 2 2 2 4" xfId="663" xr:uid="{00000000-0005-0000-0000-00003E000000}"/>
    <cellStyle name="Normal 10 2 2 2 4 2" xfId="1722" xr:uid="{00000000-0005-0000-0000-00003F000000}"/>
    <cellStyle name="Normal 10 2 2 2 4 2 2" xfId="3844" xr:uid="{00000000-0005-0000-0000-000040000000}"/>
    <cellStyle name="Normal 10 2 2 2 4 2 2 2" xfId="8090" xr:uid="{00000000-0005-0000-0000-000041000000}"/>
    <cellStyle name="Normal 10 2 2 2 4 2 3" xfId="5968" xr:uid="{00000000-0005-0000-0000-000042000000}"/>
    <cellStyle name="Normal 10 2 2 2 4 3" xfId="2785" xr:uid="{00000000-0005-0000-0000-000043000000}"/>
    <cellStyle name="Normal 10 2 2 2 4 3 2" xfId="7031" xr:uid="{00000000-0005-0000-0000-000044000000}"/>
    <cellStyle name="Normal 10 2 2 2 4 4" xfId="4909" xr:uid="{00000000-0005-0000-0000-000045000000}"/>
    <cellStyle name="Normal 10 2 2 2 5" xfId="1193" xr:uid="{00000000-0005-0000-0000-000046000000}"/>
    <cellStyle name="Normal 10 2 2 2 5 2" xfId="3315" xr:uid="{00000000-0005-0000-0000-000047000000}"/>
    <cellStyle name="Normal 10 2 2 2 5 2 2" xfId="7561" xr:uid="{00000000-0005-0000-0000-000048000000}"/>
    <cellStyle name="Normal 10 2 2 2 5 3" xfId="5439" xr:uid="{00000000-0005-0000-0000-000049000000}"/>
    <cellStyle name="Normal 10 2 2 2 6" xfId="2256" xr:uid="{00000000-0005-0000-0000-00004A000000}"/>
    <cellStyle name="Normal 10 2 2 2 6 2" xfId="6502" xr:uid="{00000000-0005-0000-0000-00004B000000}"/>
    <cellStyle name="Normal 10 2 2 2 7" xfId="4380" xr:uid="{00000000-0005-0000-0000-00004C000000}"/>
    <cellStyle name="Normal 10 2 2 3" xfId="90" xr:uid="{00000000-0005-0000-0000-00004D000000}"/>
    <cellStyle name="Normal 10 2 2 3 2" xfId="222" xr:uid="{00000000-0005-0000-0000-00004E000000}"/>
    <cellStyle name="Normal 10 2 2 3 2 2" xfId="485" xr:uid="{00000000-0005-0000-0000-00004F000000}"/>
    <cellStyle name="Normal 10 2 2 3 2 2 2" xfId="1015" xr:uid="{00000000-0005-0000-0000-000050000000}"/>
    <cellStyle name="Normal 10 2 2 3 2 2 2 2" xfId="2074" xr:uid="{00000000-0005-0000-0000-000051000000}"/>
    <cellStyle name="Normal 10 2 2 3 2 2 2 2 2" xfId="4196" xr:uid="{00000000-0005-0000-0000-000052000000}"/>
    <cellStyle name="Normal 10 2 2 3 2 2 2 2 2 2" xfId="8442" xr:uid="{00000000-0005-0000-0000-000053000000}"/>
    <cellStyle name="Normal 10 2 2 3 2 2 2 2 3" xfId="6320" xr:uid="{00000000-0005-0000-0000-000054000000}"/>
    <cellStyle name="Normal 10 2 2 3 2 2 2 3" xfId="3137" xr:uid="{00000000-0005-0000-0000-000055000000}"/>
    <cellStyle name="Normal 10 2 2 3 2 2 2 3 2" xfId="7383" xr:uid="{00000000-0005-0000-0000-000056000000}"/>
    <cellStyle name="Normal 10 2 2 3 2 2 2 4" xfId="5261" xr:uid="{00000000-0005-0000-0000-000057000000}"/>
    <cellStyle name="Normal 10 2 2 3 2 2 3" xfId="1545" xr:uid="{00000000-0005-0000-0000-000058000000}"/>
    <cellStyle name="Normal 10 2 2 3 2 2 3 2" xfId="3667" xr:uid="{00000000-0005-0000-0000-000059000000}"/>
    <cellStyle name="Normal 10 2 2 3 2 2 3 2 2" xfId="7913" xr:uid="{00000000-0005-0000-0000-00005A000000}"/>
    <cellStyle name="Normal 10 2 2 3 2 2 3 3" xfId="5791" xr:uid="{00000000-0005-0000-0000-00005B000000}"/>
    <cellStyle name="Normal 10 2 2 3 2 2 4" xfId="2608" xr:uid="{00000000-0005-0000-0000-00005C000000}"/>
    <cellStyle name="Normal 10 2 2 3 2 2 4 2" xfId="6854" xr:uid="{00000000-0005-0000-0000-00005D000000}"/>
    <cellStyle name="Normal 10 2 2 3 2 2 5" xfId="4732" xr:uid="{00000000-0005-0000-0000-00005E000000}"/>
    <cellStyle name="Normal 10 2 2 3 2 3" xfId="752" xr:uid="{00000000-0005-0000-0000-00005F000000}"/>
    <cellStyle name="Normal 10 2 2 3 2 3 2" xfId="1811" xr:uid="{00000000-0005-0000-0000-000060000000}"/>
    <cellStyle name="Normal 10 2 2 3 2 3 2 2" xfId="3933" xr:uid="{00000000-0005-0000-0000-000061000000}"/>
    <cellStyle name="Normal 10 2 2 3 2 3 2 2 2" xfId="8179" xr:uid="{00000000-0005-0000-0000-000062000000}"/>
    <cellStyle name="Normal 10 2 2 3 2 3 2 3" xfId="6057" xr:uid="{00000000-0005-0000-0000-000063000000}"/>
    <cellStyle name="Normal 10 2 2 3 2 3 3" xfId="2874" xr:uid="{00000000-0005-0000-0000-000064000000}"/>
    <cellStyle name="Normal 10 2 2 3 2 3 3 2" xfId="7120" xr:uid="{00000000-0005-0000-0000-000065000000}"/>
    <cellStyle name="Normal 10 2 2 3 2 3 4" xfId="4998" xr:uid="{00000000-0005-0000-0000-000066000000}"/>
    <cellStyle name="Normal 10 2 2 3 2 4" xfId="1282" xr:uid="{00000000-0005-0000-0000-000067000000}"/>
    <cellStyle name="Normal 10 2 2 3 2 4 2" xfId="3404" xr:uid="{00000000-0005-0000-0000-000068000000}"/>
    <cellStyle name="Normal 10 2 2 3 2 4 2 2" xfId="7650" xr:uid="{00000000-0005-0000-0000-000069000000}"/>
    <cellStyle name="Normal 10 2 2 3 2 4 3" xfId="5528" xr:uid="{00000000-0005-0000-0000-00006A000000}"/>
    <cellStyle name="Normal 10 2 2 3 2 5" xfId="2345" xr:uid="{00000000-0005-0000-0000-00006B000000}"/>
    <cellStyle name="Normal 10 2 2 3 2 5 2" xfId="6591" xr:uid="{00000000-0005-0000-0000-00006C000000}"/>
    <cellStyle name="Normal 10 2 2 3 2 6" xfId="4469" xr:uid="{00000000-0005-0000-0000-00006D000000}"/>
    <cellStyle name="Normal 10 2 2 3 3" xfId="354" xr:uid="{00000000-0005-0000-0000-00006E000000}"/>
    <cellStyle name="Normal 10 2 2 3 3 2" xfId="884" xr:uid="{00000000-0005-0000-0000-00006F000000}"/>
    <cellStyle name="Normal 10 2 2 3 3 2 2" xfId="1943" xr:uid="{00000000-0005-0000-0000-000070000000}"/>
    <cellStyle name="Normal 10 2 2 3 3 2 2 2" xfId="4065" xr:uid="{00000000-0005-0000-0000-000071000000}"/>
    <cellStyle name="Normal 10 2 2 3 3 2 2 2 2" xfId="8311" xr:uid="{00000000-0005-0000-0000-000072000000}"/>
    <cellStyle name="Normal 10 2 2 3 3 2 2 3" xfId="6189" xr:uid="{00000000-0005-0000-0000-000073000000}"/>
    <cellStyle name="Normal 10 2 2 3 3 2 3" xfId="3006" xr:uid="{00000000-0005-0000-0000-000074000000}"/>
    <cellStyle name="Normal 10 2 2 3 3 2 3 2" xfId="7252" xr:uid="{00000000-0005-0000-0000-000075000000}"/>
    <cellStyle name="Normal 10 2 2 3 3 2 4" xfId="5130" xr:uid="{00000000-0005-0000-0000-000076000000}"/>
    <cellStyle name="Normal 10 2 2 3 3 3" xfId="1414" xr:uid="{00000000-0005-0000-0000-000077000000}"/>
    <cellStyle name="Normal 10 2 2 3 3 3 2" xfId="3536" xr:uid="{00000000-0005-0000-0000-000078000000}"/>
    <cellStyle name="Normal 10 2 2 3 3 3 2 2" xfId="7782" xr:uid="{00000000-0005-0000-0000-000079000000}"/>
    <cellStyle name="Normal 10 2 2 3 3 3 3" xfId="5660" xr:uid="{00000000-0005-0000-0000-00007A000000}"/>
    <cellStyle name="Normal 10 2 2 3 3 4" xfId="2477" xr:uid="{00000000-0005-0000-0000-00007B000000}"/>
    <cellStyle name="Normal 10 2 2 3 3 4 2" xfId="6723" xr:uid="{00000000-0005-0000-0000-00007C000000}"/>
    <cellStyle name="Normal 10 2 2 3 3 5" xfId="4601" xr:uid="{00000000-0005-0000-0000-00007D000000}"/>
    <cellStyle name="Normal 10 2 2 3 4" xfId="621" xr:uid="{00000000-0005-0000-0000-00007E000000}"/>
    <cellStyle name="Normal 10 2 2 3 4 2" xfId="1680" xr:uid="{00000000-0005-0000-0000-00007F000000}"/>
    <cellStyle name="Normal 10 2 2 3 4 2 2" xfId="3802" xr:uid="{00000000-0005-0000-0000-000080000000}"/>
    <cellStyle name="Normal 10 2 2 3 4 2 2 2" xfId="8048" xr:uid="{00000000-0005-0000-0000-000081000000}"/>
    <cellStyle name="Normal 10 2 2 3 4 2 3" xfId="5926" xr:uid="{00000000-0005-0000-0000-000082000000}"/>
    <cellStyle name="Normal 10 2 2 3 4 3" xfId="2743" xr:uid="{00000000-0005-0000-0000-000083000000}"/>
    <cellStyle name="Normal 10 2 2 3 4 3 2" xfId="6989" xr:uid="{00000000-0005-0000-0000-000084000000}"/>
    <cellStyle name="Normal 10 2 2 3 4 4" xfId="4867" xr:uid="{00000000-0005-0000-0000-000085000000}"/>
    <cellStyle name="Normal 10 2 2 3 5" xfId="1151" xr:uid="{00000000-0005-0000-0000-000086000000}"/>
    <cellStyle name="Normal 10 2 2 3 5 2" xfId="3273" xr:uid="{00000000-0005-0000-0000-000087000000}"/>
    <cellStyle name="Normal 10 2 2 3 5 2 2" xfId="7519" xr:uid="{00000000-0005-0000-0000-000088000000}"/>
    <cellStyle name="Normal 10 2 2 3 5 3" xfId="5397" xr:uid="{00000000-0005-0000-0000-000089000000}"/>
    <cellStyle name="Normal 10 2 2 3 6" xfId="2214" xr:uid="{00000000-0005-0000-0000-00008A000000}"/>
    <cellStyle name="Normal 10 2 2 3 6 2" xfId="6460" xr:uid="{00000000-0005-0000-0000-00008B000000}"/>
    <cellStyle name="Normal 10 2 2 3 7" xfId="4338" xr:uid="{00000000-0005-0000-0000-00008C000000}"/>
    <cellStyle name="Normal 10 2 2 4" xfId="179" xr:uid="{00000000-0005-0000-0000-00008D000000}"/>
    <cellStyle name="Normal 10 2 2 4 2" xfId="442" xr:uid="{00000000-0005-0000-0000-00008E000000}"/>
    <cellStyle name="Normal 10 2 2 4 2 2" xfId="972" xr:uid="{00000000-0005-0000-0000-00008F000000}"/>
    <cellStyle name="Normal 10 2 2 4 2 2 2" xfId="2031" xr:uid="{00000000-0005-0000-0000-000090000000}"/>
    <cellStyle name="Normal 10 2 2 4 2 2 2 2" xfId="4153" xr:uid="{00000000-0005-0000-0000-000091000000}"/>
    <cellStyle name="Normal 10 2 2 4 2 2 2 2 2" xfId="8399" xr:uid="{00000000-0005-0000-0000-000092000000}"/>
    <cellStyle name="Normal 10 2 2 4 2 2 2 3" xfId="6277" xr:uid="{00000000-0005-0000-0000-000093000000}"/>
    <cellStyle name="Normal 10 2 2 4 2 2 3" xfId="3094" xr:uid="{00000000-0005-0000-0000-000094000000}"/>
    <cellStyle name="Normal 10 2 2 4 2 2 3 2" xfId="7340" xr:uid="{00000000-0005-0000-0000-000095000000}"/>
    <cellStyle name="Normal 10 2 2 4 2 2 4" xfId="5218" xr:uid="{00000000-0005-0000-0000-000096000000}"/>
    <cellStyle name="Normal 10 2 2 4 2 3" xfId="1502" xr:uid="{00000000-0005-0000-0000-000097000000}"/>
    <cellStyle name="Normal 10 2 2 4 2 3 2" xfId="3624" xr:uid="{00000000-0005-0000-0000-000098000000}"/>
    <cellStyle name="Normal 10 2 2 4 2 3 2 2" xfId="7870" xr:uid="{00000000-0005-0000-0000-000099000000}"/>
    <cellStyle name="Normal 10 2 2 4 2 3 3" xfId="5748" xr:uid="{00000000-0005-0000-0000-00009A000000}"/>
    <cellStyle name="Normal 10 2 2 4 2 4" xfId="2565" xr:uid="{00000000-0005-0000-0000-00009B000000}"/>
    <cellStyle name="Normal 10 2 2 4 2 4 2" xfId="6811" xr:uid="{00000000-0005-0000-0000-00009C000000}"/>
    <cellStyle name="Normal 10 2 2 4 2 5" xfId="4689" xr:uid="{00000000-0005-0000-0000-00009D000000}"/>
    <cellStyle name="Normal 10 2 2 4 3" xfId="709" xr:uid="{00000000-0005-0000-0000-00009E000000}"/>
    <cellStyle name="Normal 10 2 2 4 3 2" xfId="1768" xr:uid="{00000000-0005-0000-0000-00009F000000}"/>
    <cellStyle name="Normal 10 2 2 4 3 2 2" xfId="3890" xr:uid="{00000000-0005-0000-0000-0000A0000000}"/>
    <cellStyle name="Normal 10 2 2 4 3 2 2 2" xfId="8136" xr:uid="{00000000-0005-0000-0000-0000A1000000}"/>
    <cellStyle name="Normal 10 2 2 4 3 2 3" xfId="6014" xr:uid="{00000000-0005-0000-0000-0000A2000000}"/>
    <cellStyle name="Normal 10 2 2 4 3 3" xfId="2831" xr:uid="{00000000-0005-0000-0000-0000A3000000}"/>
    <cellStyle name="Normal 10 2 2 4 3 3 2" xfId="7077" xr:uid="{00000000-0005-0000-0000-0000A4000000}"/>
    <cellStyle name="Normal 10 2 2 4 3 4" xfId="4955" xr:uid="{00000000-0005-0000-0000-0000A5000000}"/>
    <cellStyle name="Normal 10 2 2 4 4" xfId="1239" xr:uid="{00000000-0005-0000-0000-0000A6000000}"/>
    <cellStyle name="Normal 10 2 2 4 4 2" xfId="3361" xr:uid="{00000000-0005-0000-0000-0000A7000000}"/>
    <cellStyle name="Normal 10 2 2 4 4 2 2" xfId="7607" xr:uid="{00000000-0005-0000-0000-0000A8000000}"/>
    <cellStyle name="Normal 10 2 2 4 4 3" xfId="5485" xr:uid="{00000000-0005-0000-0000-0000A9000000}"/>
    <cellStyle name="Normal 10 2 2 4 5" xfId="2302" xr:uid="{00000000-0005-0000-0000-0000AA000000}"/>
    <cellStyle name="Normal 10 2 2 4 5 2" xfId="6548" xr:uid="{00000000-0005-0000-0000-0000AB000000}"/>
    <cellStyle name="Normal 10 2 2 4 6" xfId="4426" xr:uid="{00000000-0005-0000-0000-0000AC000000}"/>
    <cellStyle name="Normal 10 2 2 5" xfId="311" xr:uid="{00000000-0005-0000-0000-0000AD000000}"/>
    <cellStyle name="Normal 10 2 2 5 2" xfId="841" xr:uid="{00000000-0005-0000-0000-0000AE000000}"/>
    <cellStyle name="Normal 10 2 2 5 2 2" xfId="1900" xr:uid="{00000000-0005-0000-0000-0000AF000000}"/>
    <cellStyle name="Normal 10 2 2 5 2 2 2" xfId="4022" xr:uid="{00000000-0005-0000-0000-0000B0000000}"/>
    <cellStyle name="Normal 10 2 2 5 2 2 2 2" xfId="8268" xr:uid="{00000000-0005-0000-0000-0000B1000000}"/>
    <cellStyle name="Normal 10 2 2 5 2 2 3" xfId="6146" xr:uid="{00000000-0005-0000-0000-0000B2000000}"/>
    <cellStyle name="Normal 10 2 2 5 2 3" xfId="2963" xr:uid="{00000000-0005-0000-0000-0000B3000000}"/>
    <cellStyle name="Normal 10 2 2 5 2 3 2" xfId="7209" xr:uid="{00000000-0005-0000-0000-0000B4000000}"/>
    <cellStyle name="Normal 10 2 2 5 2 4" xfId="5087" xr:uid="{00000000-0005-0000-0000-0000B5000000}"/>
    <cellStyle name="Normal 10 2 2 5 3" xfId="1371" xr:uid="{00000000-0005-0000-0000-0000B6000000}"/>
    <cellStyle name="Normal 10 2 2 5 3 2" xfId="3493" xr:uid="{00000000-0005-0000-0000-0000B7000000}"/>
    <cellStyle name="Normal 10 2 2 5 3 2 2" xfId="7739" xr:uid="{00000000-0005-0000-0000-0000B8000000}"/>
    <cellStyle name="Normal 10 2 2 5 3 3" xfId="5617" xr:uid="{00000000-0005-0000-0000-0000B9000000}"/>
    <cellStyle name="Normal 10 2 2 5 4" xfId="2434" xr:uid="{00000000-0005-0000-0000-0000BA000000}"/>
    <cellStyle name="Normal 10 2 2 5 4 2" xfId="6680" xr:uid="{00000000-0005-0000-0000-0000BB000000}"/>
    <cellStyle name="Normal 10 2 2 5 5" xfId="4558" xr:uid="{00000000-0005-0000-0000-0000BC000000}"/>
    <cellStyle name="Normal 10 2 2 6" xfId="578" xr:uid="{00000000-0005-0000-0000-0000BD000000}"/>
    <cellStyle name="Normal 10 2 2 6 2" xfId="1637" xr:uid="{00000000-0005-0000-0000-0000BE000000}"/>
    <cellStyle name="Normal 10 2 2 6 2 2" xfId="3759" xr:uid="{00000000-0005-0000-0000-0000BF000000}"/>
    <cellStyle name="Normal 10 2 2 6 2 2 2" xfId="8005" xr:uid="{00000000-0005-0000-0000-0000C0000000}"/>
    <cellStyle name="Normal 10 2 2 6 2 3" xfId="5883" xr:uid="{00000000-0005-0000-0000-0000C1000000}"/>
    <cellStyle name="Normal 10 2 2 6 3" xfId="2700" xr:uid="{00000000-0005-0000-0000-0000C2000000}"/>
    <cellStyle name="Normal 10 2 2 6 3 2" xfId="6946" xr:uid="{00000000-0005-0000-0000-0000C3000000}"/>
    <cellStyle name="Normal 10 2 2 6 4" xfId="4824" xr:uid="{00000000-0005-0000-0000-0000C4000000}"/>
    <cellStyle name="Normal 10 2 2 7" xfId="1108" xr:uid="{00000000-0005-0000-0000-0000C5000000}"/>
    <cellStyle name="Normal 10 2 2 7 2" xfId="3230" xr:uid="{00000000-0005-0000-0000-0000C6000000}"/>
    <cellStyle name="Normal 10 2 2 7 2 2" xfId="7476" xr:uid="{00000000-0005-0000-0000-0000C7000000}"/>
    <cellStyle name="Normal 10 2 2 7 3" xfId="5354" xr:uid="{00000000-0005-0000-0000-0000C8000000}"/>
    <cellStyle name="Normal 10 2 2 8" xfId="2171" xr:uid="{00000000-0005-0000-0000-0000C9000000}"/>
    <cellStyle name="Normal 10 2 2 8 2" xfId="6417" xr:uid="{00000000-0005-0000-0000-0000CA000000}"/>
    <cellStyle name="Normal 10 2 2 9" xfId="4295" xr:uid="{00000000-0005-0000-0000-0000CB000000}"/>
    <cellStyle name="Normal 10 2 3" xfId="112" xr:uid="{00000000-0005-0000-0000-0000CC000000}"/>
    <cellStyle name="Normal 10 2 3 2" xfId="243" xr:uid="{00000000-0005-0000-0000-0000CD000000}"/>
    <cellStyle name="Normal 10 2 3 2 2" xfId="506" xr:uid="{00000000-0005-0000-0000-0000CE000000}"/>
    <cellStyle name="Normal 10 2 3 2 2 2" xfId="1036" xr:uid="{00000000-0005-0000-0000-0000CF000000}"/>
    <cellStyle name="Normal 10 2 3 2 2 2 2" xfId="2095" xr:uid="{00000000-0005-0000-0000-0000D0000000}"/>
    <cellStyle name="Normal 10 2 3 2 2 2 2 2" xfId="4217" xr:uid="{00000000-0005-0000-0000-0000D1000000}"/>
    <cellStyle name="Normal 10 2 3 2 2 2 2 2 2" xfId="8463" xr:uid="{00000000-0005-0000-0000-0000D2000000}"/>
    <cellStyle name="Normal 10 2 3 2 2 2 2 3" xfId="6341" xr:uid="{00000000-0005-0000-0000-0000D3000000}"/>
    <cellStyle name="Normal 10 2 3 2 2 2 3" xfId="3158" xr:uid="{00000000-0005-0000-0000-0000D4000000}"/>
    <cellStyle name="Normal 10 2 3 2 2 2 3 2" xfId="7404" xr:uid="{00000000-0005-0000-0000-0000D5000000}"/>
    <cellStyle name="Normal 10 2 3 2 2 2 4" xfId="5282" xr:uid="{00000000-0005-0000-0000-0000D6000000}"/>
    <cellStyle name="Normal 10 2 3 2 2 3" xfId="1566" xr:uid="{00000000-0005-0000-0000-0000D7000000}"/>
    <cellStyle name="Normal 10 2 3 2 2 3 2" xfId="3688" xr:uid="{00000000-0005-0000-0000-0000D8000000}"/>
    <cellStyle name="Normal 10 2 3 2 2 3 2 2" xfId="7934" xr:uid="{00000000-0005-0000-0000-0000D9000000}"/>
    <cellStyle name="Normal 10 2 3 2 2 3 3" xfId="5812" xr:uid="{00000000-0005-0000-0000-0000DA000000}"/>
    <cellStyle name="Normal 10 2 3 2 2 4" xfId="2629" xr:uid="{00000000-0005-0000-0000-0000DB000000}"/>
    <cellStyle name="Normal 10 2 3 2 2 4 2" xfId="6875" xr:uid="{00000000-0005-0000-0000-0000DC000000}"/>
    <cellStyle name="Normal 10 2 3 2 2 5" xfId="4753" xr:uid="{00000000-0005-0000-0000-0000DD000000}"/>
    <cellStyle name="Normal 10 2 3 2 3" xfId="773" xr:uid="{00000000-0005-0000-0000-0000DE000000}"/>
    <cellStyle name="Normal 10 2 3 2 3 2" xfId="1832" xr:uid="{00000000-0005-0000-0000-0000DF000000}"/>
    <cellStyle name="Normal 10 2 3 2 3 2 2" xfId="3954" xr:uid="{00000000-0005-0000-0000-0000E0000000}"/>
    <cellStyle name="Normal 10 2 3 2 3 2 2 2" xfId="8200" xr:uid="{00000000-0005-0000-0000-0000E1000000}"/>
    <cellStyle name="Normal 10 2 3 2 3 2 3" xfId="6078" xr:uid="{00000000-0005-0000-0000-0000E2000000}"/>
    <cellStyle name="Normal 10 2 3 2 3 3" xfId="2895" xr:uid="{00000000-0005-0000-0000-0000E3000000}"/>
    <cellStyle name="Normal 10 2 3 2 3 3 2" xfId="7141" xr:uid="{00000000-0005-0000-0000-0000E4000000}"/>
    <cellStyle name="Normal 10 2 3 2 3 4" xfId="5019" xr:uid="{00000000-0005-0000-0000-0000E5000000}"/>
    <cellStyle name="Normal 10 2 3 2 4" xfId="1303" xr:uid="{00000000-0005-0000-0000-0000E6000000}"/>
    <cellStyle name="Normal 10 2 3 2 4 2" xfId="3425" xr:uid="{00000000-0005-0000-0000-0000E7000000}"/>
    <cellStyle name="Normal 10 2 3 2 4 2 2" xfId="7671" xr:uid="{00000000-0005-0000-0000-0000E8000000}"/>
    <cellStyle name="Normal 10 2 3 2 4 3" xfId="5549" xr:uid="{00000000-0005-0000-0000-0000E9000000}"/>
    <cellStyle name="Normal 10 2 3 2 5" xfId="2366" xr:uid="{00000000-0005-0000-0000-0000EA000000}"/>
    <cellStyle name="Normal 10 2 3 2 5 2" xfId="6612" xr:uid="{00000000-0005-0000-0000-0000EB000000}"/>
    <cellStyle name="Normal 10 2 3 2 6" xfId="4490" xr:uid="{00000000-0005-0000-0000-0000EC000000}"/>
    <cellStyle name="Normal 10 2 3 3" xfId="375" xr:uid="{00000000-0005-0000-0000-0000ED000000}"/>
    <cellStyle name="Normal 10 2 3 3 2" xfId="905" xr:uid="{00000000-0005-0000-0000-0000EE000000}"/>
    <cellStyle name="Normal 10 2 3 3 2 2" xfId="1964" xr:uid="{00000000-0005-0000-0000-0000EF000000}"/>
    <cellStyle name="Normal 10 2 3 3 2 2 2" xfId="4086" xr:uid="{00000000-0005-0000-0000-0000F0000000}"/>
    <cellStyle name="Normal 10 2 3 3 2 2 2 2" xfId="8332" xr:uid="{00000000-0005-0000-0000-0000F1000000}"/>
    <cellStyle name="Normal 10 2 3 3 2 2 3" xfId="6210" xr:uid="{00000000-0005-0000-0000-0000F2000000}"/>
    <cellStyle name="Normal 10 2 3 3 2 3" xfId="3027" xr:uid="{00000000-0005-0000-0000-0000F3000000}"/>
    <cellStyle name="Normal 10 2 3 3 2 3 2" xfId="7273" xr:uid="{00000000-0005-0000-0000-0000F4000000}"/>
    <cellStyle name="Normal 10 2 3 3 2 4" xfId="5151" xr:uid="{00000000-0005-0000-0000-0000F5000000}"/>
    <cellStyle name="Normal 10 2 3 3 3" xfId="1435" xr:uid="{00000000-0005-0000-0000-0000F6000000}"/>
    <cellStyle name="Normal 10 2 3 3 3 2" xfId="3557" xr:uid="{00000000-0005-0000-0000-0000F7000000}"/>
    <cellStyle name="Normal 10 2 3 3 3 2 2" xfId="7803" xr:uid="{00000000-0005-0000-0000-0000F8000000}"/>
    <cellStyle name="Normal 10 2 3 3 3 3" xfId="5681" xr:uid="{00000000-0005-0000-0000-0000F9000000}"/>
    <cellStyle name="Normal 10 2 3 3 4" xfId="2498" xr:uid="{00000000-0005-0000-0000-0000FA000000}"/>
    <cellStyle name="Normal 10 2 3 3 4 2" xfId="6744" xr:uid="{00000000-0005-0000-0000-0000FB000000}"/>
    <cellStyle name="Normal 10 2 3 3 5" xfId="4622" xr:uid="{00000000-0005-0000-0000-0000FC000000}"/>
    <cellStyle name="Normal 10 2 3 4" xfId="642" xr:uid="{00000000-0005-0000-0000-0000FD000000}"/>
    <cellStyle name="Normal 10 2 3 4 2" xfId="1701" xr:uid="{00000000-0005-0000-0000-0000FE000000}"/>
    <cellStyle name="Normal 10 2 3 4 2 2" xfId="3823" xr:uid="{00000000-0005-0000-0000-0000FF000000}"/>
    <cellStyle name="Normal 10 2 3 4 2 2 2" xfId="8069" xr:uid="{00000000-0005-0000-0000-000000010000}"/>
    <cellStyle name="Normal 10 2 3 4 2 3" xfId="5947" xr:uid="{00000000-0005-0000-0000-000001010000}"/>
    <cellStyle name="Normal 10 2 3 4 3" xfId="2764" xr:uid="{00000000-0005-0000-0000-000002010000}"/>
    <cellStyle name="Normal 10 2 3 4 3 2" xfId="7010" xr:uid="{00000000-0005-0000-0000-000003010000}"/>
    <cellStyle name="Normal 10 2 3 4 4" xfId="4888" xr:uid="{00000000-0005-0000-0000-000004010000}"/>
    <cellStyle name="Normal 10 2 3 5" xfId="1172" xr:uid="{00000000-0005-0000-0000-000005010000}"/>
    <cellStyle name="Normal 10 2 3 5 2" xfId="3294" xr:uid="{00000000-0005-0000-0000-000006010000}"/>
    <cellStyle name="Normal 10 2 3 5 2 2" xfId="7540" xr:uid="{00000000-0005-0000-0000-000007010000}"/>
    <cellStyle name="Normal 10 2 3 5 3" xfId="5418" xr:uid="{00000000-0005-0000-0000-000008010000}"/>
    <cellStyle name="Normal 10 2 3 6" xfId="2235" xr:uid="{00000000-0005-0000-0000-000009010000}"/>
    <cellStyle name="Normal 10 2 3 6 2" xfId="6481" xr:uid="{00000000-0005-0000-0000-00000A010000}"/>
    <cellStyle name="Normal 10 2 3 7" xfId="4359" xr:uid="{00000000-0005-0000-0000-00000B010000}"/>
    <cellStyle name="Normal 10 2 4" xfId="69" xr:uid="{00000000-0005-0000-0000-00000C010000}"/>
    <cellStyle name="Normal 10 2 4 2" xfId="201" xr:uid="{00000000-0005-0000-0000-00000D010000}"/>
    <cellStyle name="Normal 10 2 4 2 2" xfId="464" xr:uid="{00000000-0005-0000-0000-00000E010000}"/>
    <cellStyle name="Normal 10 2 4 2 2 2" xfId="994" xr:uid="{00000000-0005-0000-0000-00000F010000}"/>
    <cellStyle name="Normal 10 2 4 2 2 2 2" xfId="2053" xr:uid="{00000000-0005-0000-0000-000010010000}"/>
    <cellStyle name="Normal 10 2 4 2 2 2 2 2" xfId="4175" xr:uid="{00000000-0005-0000-0000-000011010000}"/>
    <cellStyle name="Normal 10 2 4 2 2 2 2 2 2" xfId="8421" xr:uid="{00000000-0005-0000-0000-000012010000}"/>
    <cellStyle name="Normal 10 2 4 2 2 2 2 3" xfId="6299" xr:uid="{00000000-0005-0000-0000-000013010000}"/>
    <cellStyle name="Normal 10 2 4 2 2 2 3" xfId="3116" xr:uid="{00000000-0005-0000-0000-000014010000}"/>
    <cellStyle name="Normal 10 2 4 2 2 2 3 2" xfId="7362" xr:uid="{00000000-0005-0000-0000-000015010000}"/>
    <cellStyle name="Normal 10 2 4 2 2 2 4" xfId="5240" xr:uid="{00000000-0005-0000-0000-000016010000}"/>
    <cellStyle name="Normal 10 2 4 2 2 3" xfId="1524" xr:uid="{00000000-0005-0000-0000-000017010000}"/>
    <cellStyle name="Normal 10 2 4 2 2 3 2" xfId="3646" xr:uid="{00000000-0005-0000-0000-000018010000}"/>
    <cellStyle name="Normal 10 2 4 2 2 3 2 2" xfId="7892" xr:uid="{00000000-0005-0000-0000-000019010000}"/>
    <cellStyle name="Normal 10 2 4 2 2 3 3" xfId="5770" xr:uid="{00000000-0005-0000-0000-00001A010000}"/>
    <cellStyle name="Normal 10 2 4 2 2 4" xfId="2587" xr:uid="{00000000-0005-0000-0000-00001B010000}"/>
    <cellStyle name="Normal 10 2 4 2 2 4 2" xfId="6833" xr:uid="{00000000-0005-0000-0000-00001C010000}"/>
    <cellStyle name="Normal 10 2 4 2 2 5" xfId="4711" xr:uid="{00000000-0005-0000-0000-00001D010000}"/>
    <cellStyle name="Normal 10 2 4 2 3" xfId="731" xr:uid="{00000000-0005-0000-0000-00001E010000}"/>
    <cellStyle name="Normal 10 2 4 2 3 2" xfId="1790" xr:uid="{00000000-0005-0000-0000-00001F010000}"/>
    <cellStyle name="Normal 10 2 4 2 3 2 2" xfId="3912" xr:uid="{00000000-0005-0000-0000-000020010000}"/>
    <cellStyle name="Normal 10 2 4 2 3 2 2 2" xfId="8158" xr:uid="{00000000-0005-0000-0000-000021010000}"/>
    <cellStyle name="Normal 10 2 4 2 3 2 3" xfId="6036" xr:uid="{00000000-0005-0000-0000-000022010000}"/>
    <cellStyle name="Normal 10 2 4 2 3 3" xfId="2853" xr:uid="{00000000-0005-0000-0000-000023010000}"/>
    <cellStyle name="Normal 10 2 4 2 3 3 2" xfId="7099" xr:uid="{00000000-0005-0000-0000-000024010000}"/>
    <cellStyle name="Normal 10 2 4 2 3 4" xfId="4977" xr:uid="{00000000-0005-0000-0000-000025010000}"/>
    <cellStyle name="Normal 10 2 4 2 4" xfId="1261" xr:uid="{00000000-0005-0000-0000-000026010000}"/>
    <cellStyle name="Normal 10 2 4 2 4 2" xfId="3383" xr:uid="{00000000-0005-0000-0000-000027010000}"/>
    <cellStyle name="Normal 10 2 4 2 4 2 2" xfId="7629" xr:uid="{00000000-0005-0000-0000-000028010000}"/>
    <cellStyle name="Normal 10 2 4 2 4 3" xfId="5507" xr:uid="{00000000-0005-0000-0000-000029010000}"/>
    <cellStyle name="Normal 10 2 4 2 5" xfId="2324" xr:uid="{00000000-0005-0000-0000-00002A010000}"/>
    <cellStyle name="Normal 10 2 4 2 5 2" xfId="6570" xr:uid="{00000000-0005-0000-0000-00002B010000}"/>
    <cellStyle name="Normal 10 2 4 2 6" xfId="4448" xr:uid="{00000000-0005-0000-0000-00002C010000}"/>
    <cellStyle name="Normal 10 2 4 3" xfId="333" xr:uid="{00000000-0005-0000-0000-00002D010000}"/>
    <cellStyle name="Normal 10 2 4 3 2" xfId="863" xr:uid="{00000000-0005-0000-0000-00002E010000}"/>
    <cellStyle name="Normal 10 2 4 3 2 2" xfId="1922" xr:uid="{00000000-0005-0000-0000-00002F010000}"/>
    <cellStyle name="Normal 10 2 4 3 2 2 2" xfId="4044" xr:uid="{00000000-0005-0000-0000-000030010000}"/>
    <cellStyle name="Normal 10 2 4 3 2 2 2 2" xfId="8290" xr:uid="{00000000-0005-0000-0000-000031010000}"/>
    <cellStyle name="Normal 10 2 4 3 2 2 3" xfId="6168" xr:uid="{00000000-0005-0000-0000-000032010000}"/>
    <cellStyle name="Normal 10 2 4 3 2 3" xfId="2985" xr:uid="{00000000-0005-0000-0000-000033010000}"/>
    <cellStyle name="Normal 10 2 4 3 2 3 2" xfId="7231" xr:uid="{00000000-0005-0000-0000-000034010000}"/>
    <cellStyle name="Normal 10 2 4 3 2 4" xfId="5109" xr:uid="{00000000-0005-0000-0000-000035010000}"/>
    <cellStyle name="Normal 10 2 4 3 3" xfId="1393" xr:uid="{00000000-0005-0000-0000-000036010000}"/>
    <cellStyle name="Normal 10 2 4 3 3 2" xfId="3515" xr:uid="{00000000-0005-0000-0000-000037010000}"/>
    <cellStyle name="Normal 10 2 4 3 3 2 2" xfId="7761" xr:uid="{00000000-0005-0000-0000-000038010000}"/>
    <cellStyle name="Normal 10 2 4 3 3 3" xfId="5639" xr:uid="{00000000-0005-0000-0000-000039010000}"/>
    <cellStyle name="Normal 10 2 4 3 4" xfId="2456" xr:uid="{00000000-0005-0000-0000-00003A010000}"/>
    <cellStyle name="Normal 10 2 4 3 4 2" xfId="6702" xr:uid="{00000000-0005-0000-0000-00003B010000}"/>
    <cellStyle name="Normal 10 2 4 3 5" xfId="4580" xr:uid="{00000000-0005-0000-0000-00003C010000}"/>
    <cellStyle name="Normal 10 2 4 4" xfId="600" xr:uid="{00000000-0005-0000-0000-00003D010000}"/>
    <cellStyle name="Normal 10 2 4 4 2" xfId="1659" xr:uid="{00000000-0005-0000-0000-00003E010000}"/>
    <cellStyle name="Normal 10 2 4 4 2 2" xfId="3781" xr:uid="{00000000-0005-0000-0000-00003F010000}"/>
    <cellStyle name="Normal 10 2 4 4 2 2 2" xfId="8027" xr:uid="{00000000-0005-0000-0000-000040010000}"/>
    <cellStyle name="Normal 10 2 4 4 2 3" xfId="5905" xr:uid="{00000000-0005-0000-0000-000041010000}"/>
    <cellStyle name="Normal 10 2 4 4 3" xfId="2722" xr:uid="{00000000-0005-0000-0000-000042010000}"/>
    <cellStyle name="Normal 10 2 4 4 3 2" xfId="6968" xr:uid="{00000000-0005-0000-0000-000043010000}"/>
    <cellStyle name="Normal 10 2 4 4 4" xfId="4846" xr:uid="{00000000-0005-0000-0000-000044010000}"/>
    <cellStyle name="Normal 10 2 4 5" xfId="1130" xr:uid="{00000000-0005-0000-0000-000045010000}"/>
    <cellStyle name="Normal 10 2 4 5 2" xfId="3252" xr:uid="{00000000-0005-0000-0000-000046010000}"/>
    <cellStyle name="Normal 10 2 4 5 2 2" xfId="7498" xr:uid="{00000000-0005-0000-0000-000047010000}"/>
    <cellStyle name="Normal 10 2 4 5 3" xfId="5376" xr:uid="{00000000-0005-0000-0000-000048010000}"/>
    <cellStyle name="Normal 10 2 4 6" xfId="2193" xr:uid="{00000000-0005-0000-0000-000049010000}"/>
    <cellStyle name="Normal 10 2 4 6 2" xfId="6439" xr:uid="{00000000-0005-0000-0000-00004A010000}"/>
    <cellStyle name="Normal 10 2 4 7" xfId="4317" xr:uid="{00000000-0005-0000-0000-00004B010000}"/>
    <cellStyle name="Normal 10 2 5" xfId="158" xr:uid="{00000000-0005-0000-0000-00004C010000}"/>
    <cellStyle name="Normal 10 2 5 2" xfId="421" xr:uid="{00000000-0005-0000-0000-00004D010000}"/>
    <cellStyle name="Normal 10 2 5 2 2" xfId="951" xr:uid="{00000000-0005-0000-0000-00004E010000}"/>
    <cellStyle name="Normal 10 2 5 2 2 2" xfId="2010" xr:uid="{00000000-0005-0000-0000-00004F010000}"/>
    <cellStyle name="Normal 10 2 5 2 2 2 2" xfId="4132" xr:uid="{00000000-0005-0000-0000-000050010000}"/>
    <cellStyle name="Normal 10 2 5 2 2 2 2 2" xfId="8378" xr:uid="{00000000-0005-0000-0000-000051010000}"/>
    <cellStyle name="Normal 10 2 5 2 2 2 3" xfId="6256" xr:uid="{00000000-0005-0000-0000-000052010000}"/>
    <cellStyle name="Normal 10 2 5 2 2 3" xfId="3073" xr:uid="{00000000-0005-0000-0000-000053010000}"/>
    <cellStyle name="Normal 10 2 5 2 2 3 2" xfId="7319" xr:uid="{00000000-0005-0000-0000-000054010000}"/>
    <cellStyle name="Normal 10 2 5 2 2 4" xfId="5197" xr:uid="{00000000-0005-0000-0000-000055010000}"/>
    <cellStyle name="Normal 10 2 5 2 3" xfId="1481" xr:uid="{00000000-0005-0000-0000-000056010000}"/>
    <cellStyle name="Normal 10 2 5 2 3 2" xfId="3603" xr:uid="{00000000-0005-0000-0000-000057010000}"/>
    <cellStyle name="Normal 10 2 5 2 3 2 2" xfId="7849" xr:uid="{00000000-0005-0000-0000-000058010000}"/>
    <cellStyle name="Normal 10 2 5 2 3 3" xfId="5727" xr:uid="{00000000-0005-0000-0000-000059010000}"/>
    <cellStyle name="Normal 10 2 5 2 4" xfId="2544" xr:uid="{00000000-0005-0000-0000-00005A010000}"/>
    <cellStyle name="Normal 10 2 5 2 4 2" xfId="6790" xr:uid="{00000000-0005-0000-0000-00005B010000}"/>
    <cellStyle name="Normal 10 2 5 2 5" xfId="4668" xr:uid="{00000000-0005-0000-0000-00005C010000}"/>
    <cellStyle name="Normal 10 2 5 3" xfId="688" xr:uid="{00000000-0005-0000-0000-00005D010000}"/>
    <cellStyle name="Normal 10 2 5 3 2" xfId="1747" xr:uid="{00000000-0005-0000-0000-00005E010000}"/>
    <cellStyle name="Normal 10 2 5 3 2 2" xfId="3869" xr:uid="{00000000-0005-0000-0000-00005F010000}"/>
    <cellStyle name="Normal 10 2 5 3 2 2 2" xfId="8115" xr:uid="{00000000-0005-0000-0000-000060010000}"/>
    <cellStyle name="Normal 10 2 5 3 2 3" xfId="5993" xr:uid="{00000000-0005-0000-0000-000061010000}"/>
    <cellStyle name="Normal 10 2 5 3 3" xfId="2810" xr:uid="{00000000-0005-0000-0000-000062010000}"/>
    <cellStyle name="Normal 10 2 5 3 3 2" xfId="7056" xr:uid="{00000000-0005-0000-0000-000063010000}"/>
    <cellStyle name="Normal 10 2 5 3 4" xfId="4934" xr:uid="{00000000-0005-0000-0000-000064010000}"/>
    <cellStyle name="Normal 10 2 5 4" xfId="1218" xr:uid="{00000000-0005-0000-0000-000065010000}"/>
    <cellStyle name="Normal 10 2 5 4 2" xfId="3340" xr:uid="{00000000-0005-0000-0000-000066010000}"/>
    <cellStyle name="Normal 10 2 5 4 2 2" xfId="7586" xr:uid="{00000000-0005-0000-0000-000067010000}"/>
    <cellStyle name="Normal 10 2 5 4 3" xfId="5464" xr:uid="{00000000-0005-0000-0000-000068010000}"/>
    <cellStyle name="Normal 10 2 5 5" xfId="2281" xr:uid="{00000000-0005-0000-0000-000069010000}"/>
    <cellStyle name="Normal 10 2 5 5 2" xfId="6527" xr:uid="{00000000-0005-0000-0000-00006A010000}"/>
    <cellStyle name="Normal 10 2 5 6" xfId="4405" xr:uid="{00000000-0005-0000-0000-00006B010000}"/>
    <cellStyle name="Normal 10 2 6" xfId="290" xr:uid="{00000000-0005-0000-0000-00006C010000}"/>
    <cellStyle name="Normal 10 2 6 2" xfId="820" xr:uid="{00000000-0005-0000-0000-00006D010000}"/>
    <cellStyle name="Normal 10 2 6 2 2" xfId="1879" xr:uid="{00000000-0005-0000-0000-00006E010000}"/>
    <cellStyle name="Normal 10 2 6 2 2 2" xfId="4001" xr:uid="{00000000-0005-0000-0000-00006F010000}"/>
    <cellStyle name="Normal 10 2 6 2 2 2 2" xfId="8247" xr:uid="{00000000-0005-0000-0000-000070010000}"/>
    <cellStyle name="Normal 10 2 6 2 2 3" xfId="6125" xr:uid="{00000000-0005-0000-0000-000071010000}"/>
    <cellStyle name="Normal 10 2 6 2 3" xfId="2942" xr:uid="{00000000-0005-0000-0000-000072010000}"/>
    <cellStyle name="Normal 10 2 6 2 3 2" xfId="7188" xr:uid="{00000000-0005-0000-0000-000073010000}"/>
    <cellStyle name="Normal 10 2 6 2 4" xfId="5066" xr:uid="{00000000-0005-0000-0000-000074010000}"/>
    <cellStyle name="Normal 10 2 6 3" xfId="1350" xr:uid="{00000000-0005-0000-0000-000075010000}"/>
    <cellStyle name="Normal 10 2 6 3 2" xfId="3472" xr:uid="{00000000-0005-0000-0000-000076010000}"/>
    <cellStyle name="Normal 10 2 6 3 2 2" xfId="7718" xr:uid="{00000000-0005-0000-0000-000077010000}"/>
    <cellStyle name="Normal 10 2 6 3 3" xfId="5596" xr:uid="{00000000-0005-0000-0000-000078010000}"/>
    <cellStyle name="Normal 10 2 6 4" xfId="2413" xr:uid="{00000000-0005-0000-0000-000079010000}"/>
    <cellStyle name="Normal 10 2 6 4 2" xfId="6659" xr:uid="{00000000-0005-0000-0000-00007A010000}"/>
    <cellStyle name="Normal 10 2 6 5" xfId="4537" xr:uid="{00000000-0005-0000-0000-00007B010000}"/>
    <cellStyle name="Normal 10 2 7" xfId="557" xr:uid="{00000000-0005-0000-0000-00007C010000}"/>
    <cellStyle name="Normal 10 2 7 2" xfId="1616" xr:uid="{00000000-0005-0000-0000-00007D010000}"/>
    <cellStyle name="Normal 10 2 7 2 2" xfId="3738" xr:uid="{00000000-0005-0000-0000-00007E010000}"/>
    <cellStyle name="Normal 10 2 7 2 2 2" xfId="7984" xr:uid="{00000000-0005-0000-0000-00007F010000}"/>
    <cellStyle name="Normal 10 2 7 2 3" xfId="5862" xr:uid="{00000000-0005-0000-0000-000080010000}"/>
    <cellStyle name="Normal 10 2 7 3" xfId="2679" xr:uid="{00000000-0005-0000-0000-000081010000}"/>
    <cellStyle name="Normal 10 2 7 3 2" xfId="6925" xr:uid="{00000000-0005-0000-0000-000082010000}"/>
    <cellStyle name="Normal 10 2 7 4" xfId="4803" xr:uid="{00000000-0005-0000-0000-000083010000}"/>
    <cellStyle name="Normal 10 2 8" xfId="1087" xr:uid="{00000000-0005-0000-0000-000084010000}"/>
    <cellStyle name="Normal 10 2 8 2" xfId="3209" xr:uid="{00000000-0005-0000-0000-000085010000}"/>
    <cellStyle name="Normal 10 2 8 2 2" xfId="7455" xr:uid="{00000000-0005-0000-0000-000086010000}"/>
    <cellStyle name="Normal 10 2 8 3" xfId="5333" xr:uid="{00000000-0005-0000-0000-000087010000}"/>
    <cellStyle name="Normal 10 2 9" xfId="2150" xr:uid="{00000000-0005-0000-0000-000088010000}"/>
    <cellStyle name="Normal 10 2 9 2" xfId="6396" xr:uid="{00000000-0005-0000-0000-000089010000}"/>
    <cellStyle name="Normal 10 3" xfId="36" xr:uid="{00000000-0005-0000-0000-00008A010000}"/>
    <cellStyle name="Normal 10 3 2" xfId="122" xr:uid="{00000000-0005-0000-0000-00008B010000}"/>
    <cellStyle name="Normal 10 3 2 2" xfId="253" xr:uid="{00000000-0005-0000-0000-00008C010000}"/>
    <cellStyle name="Normal 10 3 2 2 2" xfId="516" xr:uid="{00000000-0005-0000-0000-00008D010000}"/>
    <cellStyle name="Normal 10 3 2 2 2 2" xfId="1046" xr:uid="{00000000-0005-0000-0000-00008E010000}"/>
    <cellStyle name="Normal 10 3 2 2 2 2 2" xfId="2105" xr:uid="{00000000-0005-0000-0000-00008F010000}"/>
    <cellStyle name="Normal 10 3 2 2 2 2 2 2" xfId="4227" xr:uid="{00000000-0005-0000-0000-000090010000}"/>
    <cellStyle name="Normal 10 3 2 2 2 2 2 2 2" xfId="8473" xr:uid="{00000000-0005-0000-0000-000091010000}"/>
    <cellStyle name="Normal 10 3 2 2 2 2 2 3" xfId="6351" xr:uid="{00000000-0005-0000-0000-000092010000}"/>
    <cellStyle name="Normal 10 3 2 2 2 2 3" xfId="3168" xr:uid="{00000000-0005-0000-0000-000093010000}"/>
    <cellStyle name="Normal 10 3 2 2 2 2 3 2" xfId="7414" xr:uid="{00000000-0005-0000-0000-000094010000}"/>
    <cellStyle name="Normal 10 3 2 2 2 2 4" xfId="5292" xr:uid="{00000000-0005-0000-0000-000095010000}"/>
    <cellStyle name="Normal 10 3 2 2 2 3" xfId="1576" xr:uid="{00000000-0005-0000-0000-000096010000}"/>
    <cellStyle name="Normal 10 3 2 2 2 3 2" xfId="3698" xr:uid="{00000000-0005-0000-0000-000097010000}"/>
    <cellStyle name="Normal 10 3 2 2 2 3 2 2" xfId="7944" xr:uid="{00000000-0005-0000-0000-000098010000}"/>
    <cellStyle name="Normal 10 3 2 2 2 3 3" xfId="5822" xr:uid="{00000000-0005-0000-0000-000099010000}"/>
    <cellStyle name="Normal 10 3 2 2 2 4" xfId="2639" xr:uid="{00000000-0005-0000-0000-00009A010000}"/>
    <cellStyle name="Normal 10 3 2 2 2 4 2" xfId="6885" xr:uid="{00000000-0005-0000-0000-00009B010000}"/>
    <cellStyle name="Normal 10 3 2 2 2 5" xfId="4763" xr:uid="{00000000-0005-0000-0000-00009C010000}"/>
    <cellStyle name="Normal 10 3 2 2 3" xfId="783" xr:uid="{00000000-0005-0000-0000-00009D010000}"/>
    <cellStyle name="Normal 10 3 2 2 3 2" xfId="1842" xr:uid="{00000000-0005-0000-0000-00009E010000}"/>
    <cellStyle name="Normal 10 3 2 2 3 2 2" xfId="3964" xr:uid="{00000000-0005-0000-0000-00009F010000}"/>
    <cellStyle name="Normal 10 3 2 2 3 2 2 2" xfId="8210" xr:uid="{00000000-0005-0000-0000-0000A0010000}"/>
    <cellStyle name="Normal 10 3 2 2 3 2 3" xfId="6088" xr:uid="{00000000-0005-0000-0000-0000A1010000}"/>
    <cellStyle name="Normal 10 3 2 2 3 3" xfId="2905" xr:uid="{00000000-0005-0000-0000-0000A2010000}"/>
    <cellStyle name="Normal 10 3 2 2 3 3 2" xfId="7151" xr:uid="{00000000-0005-0000-0000-0000A3010000}"/>
    <cellStyle name="Normal 10 3 2 2 3 4" xfId="5029" xr:uid="{00000000-0005-0000-0000-0000A4010000}"/>
    <cellStyle name="Normal 10 3 2 2 4" xfId="1313" xr:uid="{00000000-0005-0000-0000-0000A5010000}"/>
    <cellStyle name="Normal 10 3 2 2 4 2" xfId="3435" xr:uid="{00000000-0005-0000-0000-0000A6010000}"/>
    <cellStyle name="Normal 10 3 2 2 4 2 2" xfId="7681" xr:uid="{00000000-0005-0000-0000-0000A7010000}"/>
    <cellStyle name="Normal 10 3 2 2 4 3" xfId="5559" xr:uid="{00000000-0005-0000-0000-0000A8010000}"/>
    <cellStyle name="Normal 10 3 2 2 5" xfId="2376" xr:uid="{00000000-0005-0000-0000-0000A9010000}"/>
    <cellStyle name="Normal 10 3 2 2 5 2" xfId="6622" xr:uid="{00000000-0005-0000-0000-0000AA010000}"/>
    <cellStyle name="Normal 10 3 2 2 6" xfId="4500" xr:uid="{00000000-0005-0000-0000-0000AB010000}"/>
    <cellStyle name="Normal 10 3 2 3" xfId="385" xr:uid="{00000000-0005-0000-0000-0000AC010000}"/>
    <cellStyle name="Normal 10 3 2 3 2" xfId="915" xr:uid="{00000000-0005-0000-0000-0000AD010000}"/>
    <cellStyle name="Normal 10 3 2 3 2 2" xfId="1974" xr:uid="{00000000-0005-0000-0000-0000AE010000}"/>
    <cellStyle name="Normal 10 3 2 3 2 2 2" xfId="4096" xr:uid="{00000000-0005-0000-0000-0000AF010000}"/>
    <cellStyle name="Normal 10 3 2 3 2 2 2 2" xfId="8342" xr:uid="{00000000-0005-0000-0000-0000B0010000}"/>
    <cellStyle name="Normal 10 3 2 3 2 2 3" xfId="6220" xr:uid="{00000000-0005-0000-0000-0000B1010000}"/>
    <cellStyle name="Normal 10 3 2 3 2 3" xfId="3037" xr:uid="{00000000-0005-0000-0000-0000B2010000}"/>
    <cellStyle name="Normal 10 3 2 3 2 3 2" xfId="7283" xr:uid="{00000000-0005-0000-0000-0000B3010000}"/>
    <cellStyle name="Normal 10 3 2 3 2 4" xfId="5161" xr:uid="{00000000-0005-0000-0000-0000B4010000}"/>
    <cellStyle name="Normal 10 3 2 3 3" xfId="1445" xr:uid="{00000000-0005-0000-0000-0000B5010000}"/>
    <cellStyle name="Normal 10 3 2 3 3 2" xfId="3567" xr:uid="{00000000-0005-0000-0000-0000B6010000}"/>
    <cellStyle name="Normal 10 3 2 3 3 2 2" xfId="7813" xr:uid="{00000000-0005-0000-0000-0000B7010000}"/>
    <cellStyle name="Normal 10 3 2 3 3 3" xfId="5691" xr:uid="{00000000-0005-0000-0000-0000B8010000}"/>
    <cellStyle name="Normal 10 3 2 3 4" xfId="2508" xr:uid="{00000000-0005-0000-0000-0000B9010000}"/>
    <cellStyle name="Normal 10 3 2 3 4 2" xfId="6754" xr:uid="{00000000-0005-0000-0000-0000BA010000}"/>
    <cellStyle name="Normal 10 3 2 3 5" xfId="4632" xr:uid="{00000000-0005-0000-0000-0000BB010000}"/>
    <cellStyle name="Normal 10 3 2 4" xfId="652" xr:uid="{00000000-0005-0000-0000-0000BC010000}"/>
    <cellStyle name="Normal 10 3 2 4 2" xfId="1711" xr:uid="{00000000-0005-0000-0000-0000BD010000}"/>
    <cellStyle name="Normal 10 3 2 4 2 2" xfId="3833" xr:uid="{00000000-0005-0000-0000-0000BE010000}"/>
    <cellStyle name="Normal 10 3 2 4 2 2 2" xfId="8079" xr:uid="{00000000-0005-0000-0000-0000BF010000}"/>
    <cellStyle name="Normal 10 3 2 4 2 3" xfId="5957" xr:uid="{00000000-0005-0000-0000-0000C0010000}"/>
    <cellStyle name="Normal 10 3 2 4 3" xfId="2774" xr:uid="{00000000-0005-0000-0000-0000C1010000}"/>
    <cellStyle name="Normal 10 3 2 4 3 2" xfId="7020" xr:uid="{00000000-0005-0000-0000-0000C2010000}"/>
    <cellStyle name="Normal 10 3 2 4 4" xfId="4898" xr:uid="{00000000-0005-0000-0000-0000C3010000}"/>
    <cellStyle name="Normal 10 3 2 5" xfId="1182" xr:uid="{00000000-0005-0000-0000-0000C4010000}"/>
    <cellStyle name="Normal 10 3 2 5 2" xfId="3304" xr:uid="{00000000-0005-0000-0000-0000C5010000}"/>
    <cellStyle name="Normal 10 3 2 5 2 2" xfId="7550" xr:uid="{00000000-0005-0000-0000-0000C6010000}"/>
    <cellStyle name="Normal 10 3 2 5 3" xfId="5428" xr:uid="{00000000-0005-0000-0000-0000C7010000}"/>
    <cellStyle name="Normal 10 3 2 6" xfId="2245" xr:uid="{00000000-0005-0000-0000-0000C8010000}"/>
    <cellStyle name="Normal 10 3 2 6 2" xfId="6491" xr:uid="{00000000-0005-0000-0000-0000C9010000}"/>
    <cellStyle name="Normal 10 3 2 7" xfId="4369" xr:uid="{00000000-0005-0000-0000-0000CA010000}"/>
    <cellStyle name="Normal 10 3 3" xfId="79" xr:uid="{00000000-0005-0000-0000-0000CB010000}"/>
    <cellStyle name="Normal 10 3 3 2" xfId="211" xr:uid="{00000000-0005-0000-0000-0000CC010000}"/>
    <cellStyle name="Normal 10 3 3 2 2" xfId="474" xr:uid="{00000000-0005-0000-0000-0000CD010000}"/>
    <cellStyle name="Normal 10 3 3 2 2 2" xfId="1004" xr:uid="{00000000-0005-0000-0000-0000CE010000}"/>
    <cellStyle name="Normal 10 3 3 2 2 2 2" xfId="2063" xr:uid="{00000000-0005-0000-0000-0000CF010000}"/>
    <cellStyle name="Normal 10 3 3 2 2 2 2 2" xfId="4185" xr:uid="{00000000-0005-0000-0000-0000D0010000}"/>
    <cellStyle name="Normal 10 3 3 2 2 2 2 2 2" xfId="8431" xr:uid="{00000000-0005-0000-0000-0000D1010000}"/>
    <cellStyle name="Normal 10 3 3 2 2 2 2 3" xfId="6309" xr:uid="{00000000-0005-0000-0000-0000D2010000}"/>
    <cellStyle name="Normal 10 3 3 2 2 2 3" xfId="3126" xr:uid="{00000000-0005-0000-0000-0000D3010000}"/>
    <cellStyle name="Normal 10 3 3 2 2 2 3 2" xfId="7372" xr:uid="{00000000-0005-0000-0000-0000D4010000}"/>
    <cellStyle name="Normal 10 3 3 2 2 2 4" xfId="5250" xr:uid="{00000000-0005-0000-0000-0000D5010000}"/>
    <cellStyle name="Normal 10 3 3 2 2 3" xfId="1534" xr:uid="{00000000-0005-0000-0000-0000D6010000}"/>
    <cellStyle name="Normal 10 3 3 2 2 3 2" xfId="3656" xr:uid="{00000000-0005-0000-0000-0000D7010000}"/>
    <cellStyle name="Normal 10 3 3 2 2 3 2 2" xfId="7902" xr:uid="{00000000-0005-0000-0000-0000D8010000}"/>
    <cellStyle name="Normal 10 3 3 2 2 3 3" xfId="5780" xr:uid="{00000000-0005-0000-0000-0000D9010000}"/>
    <cellStyle name="Normal 10 3 3 2 2 4" xfId="2597" xr:uid="{00000000-0005-0000-0000-0000DA010000}"/>
    <cellStyle name="Normal 10 3 3 2 2 4 2" xfId="6843" xr:uid="{00000000-0005-0000-0000-0000DB010000}"/>
    <cellStyle name="Normal 10 3 3 2 2 5" xfId="4721" xr:uid="{00000000-0005-0000-0000-0000DC010000}"/>
    <cellStyle name="Normal 10 3 3 2 3" xfId="741" xr:uid="{00000000-0005-0000-0000-0000DD010000}"/>
    <cellStyle name="Normal 10 3 3 2 3 2" xfId="1800" xr:uid="{00000000-0005-0000-0000-0000DE010000}"/>
    <cellStyle name="Normal 10 3 3 2 3 2 2" xfId="3922" xr:uid="{00000000-0005-0000-0000-0000DF010000}"/>
    <cellStyle name="Normal 10 3 3 2 3 2 2 2" xfId="8168" xr:uid="{00000000-0005-0000-0000-0000E0010000}"/>
    <cellStyle name="Normal 10 3 3 2 3 2 3" xfId="6046" xr:uid="{00000000-0005-0000-0000-0000E1010000}"/>
    <cellStyle name="Normal 10 3 3 2 3 3" xfId="2863" xr:uid="{00000000-0005-0000-0000-0000E2010000}"/>
    <cellStyle name="Normal 10 3 3 2 3 3 2" xfId="7109" xr:uid="{00000000-0005-0000-0000-0000E3010000}"/>
    <cellStyle name="Normal 10 3 3 2 3 4" xfId="4987" xr:uid="{00000000-0005-0000-0000-0000E4010000}"/>
    <cellStyle name="Normal 10 3 3 2 4" xfId="1271" xr:uid="{00000000-0005-0000-0000-0000E5010000}"/>
    <cellStyle name="Normal 10 3 3 2 4 2" xfId="3393" xr:uid="{00000000-0005-0000-0000-0000E6010000}"/>
    <cellStyle name="Normal 10 3 3 2 4 2 2" xfId="7639" xr:uid="{00000000-0005-0000-0000-0000E7010000}"/>
    <cellStyle name="Normal 10 3 3 2 4 3" xfId="5517" xr:uid="{00000000-0005-0000-0000-0000E8010000}"/>
    <cellStyle name="Normal 10 3 3 2 5" xfId="2334" xr:uid="{00000000-0005-0000-0000-0000E9010000}"/>
    <cellStyle name="Normal 10 3 3 2 5 2" xfId="6580" xr:uid="{00000000-0005-0000-0000-0000EA010000}"/>
    <cellStyle name="Normal 10 3 3 2 6" xfId="4458" xr:uid="{00000000-0005-0000-0000-0000EB010000}"/>
    <cellStyle name="Normal 10 3 3 3" xfId="343" xr:uid="{00000000-0005-0000-0000-0000EC010000}"/>
    <cellStyle name="Normal 10 3 3 3 2" xfId="873" xr:uid="{00000000-0005-0000-0000-0000ED010000}"/>
    <cellStyle name="Normal 10 3 3 3 2 2" xfId="1932" xr:uid="{00000000-0005-0000-0000-0000EE010000}"/>
    <cellStyle name="Normal 10 3 3 3 2 2 2" xfId="4054" xr:uid="{00000000-0005-0000-0000-0000EF010000}"/>
    <cellStyle name="Normal 10 3 3 3 2 2 2 2" xfId="8300" xr:uid="{00000000-0005-0000-0000-0000F0010000}"/>
    <cellStyle name="Normal 10 3 3 3 2 2 3" xfId="6178" xr:uid="{00000000-0005-0000-0000-0000F1010000}"/>
    <cellStyle name="Normal 10 3 3 3 2 3" xfId="2995" xr:uid="{00000000-0005-0000-0000-0000F2010000}"/>
    <cellStyle name="Normal 10 3 3 3 2 3 2" xfId="7241" xr:uid="{00000000-0005-0000-0000-0000F3010000}"/>
    <cellStyle name="Normal 10 3 3 3 2 4" xfId="5119" xr:uid="{00000000-0005-0000-0000-0000F4010000}"/>
    <cellStyle name="Normal 10 3 3 3 3" xfId="1403" xr:uid="{00000000-0005-0000-0000-0000F5010000}"/>
    <cellStyle name="Normal 10 3 3 3 3 2" xfId="3525" xr:uid="{00000000-0005-0000-0000-0000F6010000}"/>
    <cellStyle name="Normal 10 3 3 3 3 2 2" xfId="7771" xr:uid="{00000000-0005-0000-0000-0000F7010000}"/>
    <cellStyle name="Normal 10 3 3 3 3 3" xfId="5649" xr:uid="{00000000-0005-0000-0000-0000F8010000}"/>
    <cellStyle name="Normal 10 3 3 3 4" xfId="2466" xr:uid="{00000000-0005-0000-0000-0000F9010000}"/>
    <cellStyle name="Normal 10 3 3 3 4 2" xfId="6712" xr:uid="{00000000-0005-0000-0000-0000FA010000}"/>
    <cellStyle name="Normal 10 3 3 3 5" xfId="4590" xr:uid="{00000000-0005-0000-0000-0000FB010000}"/>
    <cellStyle name="Normal 10 3 3 4" xfId="610" xr:uid="{00000000-0005-0000-0000-0000FC010000}"/>
    <cellStyle name="Normal 10 3 3 4 2" xfId="1669" xr:uid="{00000000-0005-0000-0000-0000FD010000}"/>
    <cellStyle name="Normal 10 3 3 4 2 2" xfId="3791" xr:uid="{00000000-0005-0000-0000-0000FE010000}"/>
    <cellStyle name="Normal 10 3 3 4 2 2 2" xfId="8037" xr:uid="{00000000-0005-0000-0000-0000FF010000}"/>
    <cellStyle name="Normal 10 3 3 4 2 3" xfId="5915" xr:uid="{00000000-0005-0000-0000-000000020000}"/>
    <cellStyle name="Normal 10 3 3 4 3" xfId="2732" xr:uid="{00000000-0005-0000-0000-000001020000}"/>
    <cellStyle name="Normal 10 3 3 4 3 2" xfId="6978" xr:uid="{00000000-0005-0000-0000-000002020000}"/>
    <cellStyle name="Normal 10 3 3 4 4" xfId="4856" xr:uid="{00000000-0005-0000-0000-000003020000}"/>
    <cellStyle name="Normal 10 3 3 5" xfId="1140" xr:uid="{00000000-0005-0000-0000-000004020000}"/>
    <cellStyle name="Normal 10 3 3 5 2" xfId="3262" xr:uid="{00000000-0005-0000-0000-000005020000}"/>
    <cellStyle name="Normal 10 3 3 5 2 2" xfId="7508" xr:uid="{00000000-0005-0000-0000-000006020000}"/>
    <cellStyle name="Normal 10 3 3 5 3" xfId="5386" xr:uid="{00000000-0005-0000-0000-000007020000}"/>
    <cellStyle name="Normal 10 3 3 6" xfId="2203" xr:uid="{00000000-0005-0000-0000-000008020000}"/>
    <cellStyle name="Normal 10 3 3 6 2" xfId="6449" xr:uid="{00000000-0005-0000-0000-000009020000}"/>
    <cellStyle name="Normal 10 3 3 7" xfId="4327" xr:uid="{00000000-0005-0000-0000-00000A020000}"/>
    <cellStyle name="Normal 10 3 4" xfId="168" xr:uid="{00000000-0005-0000-0000-00000B020000}"/>
    <cellStyle name="Normal 10 3 4 2" xfId="431" xr:uid="{00000000-0005-0000-0000-00000C020000}"/>
    <cellStyle name="Normal 10 3 4 2 2" xfId="961" xr:uid="{00000000-0005-0000-0000-00000D020000}"/>
    <cellStyle name="Normal 10 3 4 2 2 2" xfId="2020" xr:uid="{00000000-0005-0000-0000-00000E020000}"/>
    <cellStyle name="Normal 10 3 4 2 2 2 2" xfId="4142" xr:uid="{00000000-0005-0000-0000-00000F020000}"/>
    <cellStyle name="Normal 10 3 4 2 2 2 2 2" xfId="8388" xr:uid="{00000000-0005-0000-0000-000010020000}"/>
    <cellStyle name="Normal 10 3 4 2 2 2 3" xfId="6266" xr:uid="{00000000-0005-0000-0000-000011020000}"/>
    <cellStyle name="Normal 10 3 4 2 2 3" xfId="3083" xr:uid="{00000000-0005-0000-0000-000012020000}"/>
    <cellStyle name="Normal 10 3 4 2 2 3 2" xfId="7329" xr:uid="{00000000-0005-0000-0000-000013020000}"/>
    <cellStyle name="Normal 10 3 4 2 2 4" xfId="5207" xr:uid="{00000000-0005-0000-0000-000014020000}"/>
    <cellStyle name="Normal 10 3 4 2 3" xfId="1491" xr:uid="{00000000-0005-0000-0000-000015020000}"/>
    <cellStyle name="Normal 10 3 4 2 3 2" xfId="3613" xr:uid="{00000000-0005-0000-0000-000016020000}"/>
    <cellStyle name="Normal 10 3 4 2 3 2 2" xfId="7859" xr:uid="{00000000-0005-0000-0000-000017020000}"/>
    <cellStyle name="Normal 10 3 4 2 3 3" xfId="5737" xr:uid="{00000000-0005-0000-0000-000018020000}"/>
    <cellStyle name="Normal 10 3 4 2 4" xfId="2554" xr:uid="{00000000-0005-0000-0000-000019020000}"/>
    <cellStyle name="Normal 10 3 4 2 4 2" xfId="6800" xr:uid="{00000000-0005-0000-0000-00001A020000}"/>
    <cellStyle name="Normal 10 3 4 2 5" xfId="4678" xr:uid="{00000000-0005-0000-0000-00001B020000}"/>
    <cellStyle name="Normal 10 3 4 3" xfId="698" xr:uid="{00000000-0005-0000-0000-00001C020000}"/>
    <cellStyle name="Normal 10 3 4 3 2" xfId="1757" xr:uid="{00000000-0005-0000-0000-00001D020000}"/>
    <cellStyle name="Normal 10 3 4 3 2 2" xfId="3879" xr:uid="{00000000-0005-0000-0000-00001E020000}"/>
    <cellStyle name="Normal 10 3 4 3 2 2 2" xfId="8125" xr:uid="{00000000-0005-0000-0000-00001F020000}"/>
    <cellStyle name="Normal 10 3 4 3 2 3" xfId="6003" xr:uid="{00000000-0005-0000-0000-000020020000}"/>
    <cellStyle name="Normal 10 3 4 3 3" xfId="2820" xr:uid="{00000000-0005-0000-0000-000021020000}"/>
    <cellStyle name="Normal 10 3 4 3 3 2" xfId="7066" xr:uid="{00000000-0005-0000-0000-000022020000}"/>
    <cellStyle name="Normal 10 3 4 3 4" xfId="4944" xr:uid="{00000000-0005-0000-0000-000023020000}"/>
    <cellStyle name="Normal 10 3 4 4" xfId="1228" xr:uid="{00000000-0005-0000-0000-000024020000}"/>
    <cellStyle name="Normal 10 3 4 4 2" xfId="3350" xr:uid="{00000000-0005-0000-0000-000025020000}"/>
    <cellStyle name="Normal 10 3 4 4 2 2" xfId="7596" xr:uid="{00000000-0005-0000-0000-000026020000}"/>
    <cellStyle name="Normal 10 3 4 4 3" xfId="5474" xr:uid="{00000000-0005-0000-0000-000027020000}"/>
    <cellStyle name="Normal 10 3 4 5" xfId="2291" xr:uid="{00000000-0005-0000-0000-000028020000}"/>
    <cellStyle name="Normal 10 3 4 5 2" xfId="6537" xr:uid="{00000000-0005-0000-0000-000029020000}"/>
    <cellStyle name="Normal 10 3 4 6" xfId="4415" xr:uid="{00000000-0005-0000-0000-00002A020000}"/>
    <cellStyle name="Normal 10 3 5" xfId="300" xr:uid="{00000000-0005-0000-0000-00002B020000}"/>
    <cellStyle name="Normal 10 3 5 2" xfId="830" xr:uid="{00000000-0005-0000-0000-00002C020000}"/>
    <cellStyle name="Normal 10 3 5 2 2" xfId="1889" xr:uid="{00000000-0005-0000-0000-00002D020000}"/>
    <cellStyle name="Normal 10 3 5 2 2 2" xfId="4011" xr:uid="{00000000-0005-0000-0000-00002E020000}"/>
    <cellStyle name="Normal 10 3 5 2 2 2 2" xfId="8257" xr:uid="{00000000-0005-0000-0000-00002F020000}"/>
    <cellStyle name="Normal 10 3 5 2 2 3" xfId="6135" xr:uid="{00000000-0005-0000-0000-000030020000}"/>
    <cellStyle name="Normal 10 3 5 2 3" xfId="2952" xr:uid="{00000000-0005-0000-0000-000031020000}"/>
    <cellStyle name="Normal 10 3 5 2 3 2" xfId="7198" xr:uid="{00000000-0005-0000-0000-000032020000}"/>
    <cellStyle name="Normal 10 3 5 2 4" xfId="5076" xr:uid="{00000000-0005-0000-0000-000033020000}"/>
    <cellStyle name="Normal 10 3 5 3" xfId="1360" xr:uid="{00000000-0005-0000-0000-000034020000}"/>
    <cellStyle name="Normal 10 3 5 3 2" xfId="3482" xr:uid="{00000000-0005-0000-0000-000035020000}"/>
    <cellStyle name="Normal 10 3 5 3 2 2" xfId="7728" xr:uid="{00000000-0005-0000-0000-000036020000}"/>
    <cellStyle name="Normal 10 3 5 3 3" xfId="5606" xr:uid="{00000000-0005-0000-0000-000037020000}"/>
    <cellStyle name="Normal 10 3 5 4" xfId="2423" xr:uid="{00000000-0005-0000-0000-000038020000}"/>
    <cellStyle name="Normal 10 3 5 4 2" xfId="6669" xr:uid="{00000000-0005-0000-0000-000039020000}"/>
    <cellStyle name="Normal 10 3 5 5" xfId="4547" xr:uid="{00000000-0005-0000-0000-00003A020000}"/>
    <cellStyle name="Normal 10 3 6" xfId="567" xr:uid="{00000000-0005-0000-0000-00003B020000}"/>
    <cellStyle name="Normal 10 3 6 2" xfId="1626" xr:uid="{00000000-0005-0000-0000-00003C020000}"/>
    <cellStyle name="Normal 10 3 6 2 2" xfId="3748" xr:uid="{00000000-0005-0000-0000-00003D020000}"/>
    <cellStyle name="Normal 10 3 6 2 2 2" xfId="7994" xr:uid="{00000000-0005-0000-0000-00003E020000}"/>
    <cellStyle name="Normal 10 3 6 2 3" xfId="5872" xr:uid="{00000000-0005-0000-0000-00003F020000}"/>
    <cellStyle name="Normal 10 3 6 3" xfId="2689" xr:uid="{00000000-0005-0000-0000-000040020000}"/>
    <cellStyle name="Normal 10 3 6 3 2" xfId="6935" xr:uid="{00000000-0005-0000-0000-000041020000}"/>
    <cellStyle name="Normal 10 3 6 4" xfId="4813" xr:uid="{00000000-0005-0000-0000-000042020000}"/>
    <cellStyle name="Normal 10 3 7" xfId="1097" xr:uid="{00000000-0005-0000-0000-000043020000}"/>
    <cellStyle name="Normal 10 3 7 2" xfId="3219" xr:uid="{00000000-0005-0000-0000-000044020000}"/>
    <cellStyle name="Normal 10 3 7 2 2" xfId="7465" xr:uid="{00000000-0005-0000-0000-000045020000}"/>
    <cellStyle name="Normal 10 3 7 3" xfId="5343" xr:uid="{00000000-0005-0000-0000-000046020000}"/>
    <cellStyle name="Normal 10 3 8" xfId="2160" xr:uid="{00000000-0005-0000-0000-000047020000}"/>
    <cellStyle name="Normal 10 3 8 2" xfId="6406" xr:uid="{00000000-0005-0000-0000-000048020000}"/>
    <cellStyle name="Normal 10 3 9" xfId="4284" xr:uid="{00000000-0005-0000-0000-000049020000}"/>
    <cellStyle name="Normal 10 4" xfId="102" xr:uid="{00000000-0005-0000-0000-00004A020000}"/>
    <cellStyle name="Normal 10 4 2" xfId="233" xr:uid="{00000000-0005-0000-0000-00004B020000}"/>
    <cellStyle name="Normal 10 4 2 2" xfId="496" xr:uid="{00000000-0005-0000-0000-00004C020000}"/>
    <cellStyle name="Normal 10 4 2 2 2" xfId="1026" xr:uid="{00000000-0005-0000-0000-00004D020000}"/>
    <cellStyle name="Normal 10 4 2 2 2 2" xfId="2085" xr:uid="{00000000-0005-0000-0000-00004E020000}"/>
    <cellStyle name="Normal 10 4 2 2 2 2 2" xfId="4207" xr:uid="{00000000-0005-0000-0000-00004F020000}"/>
    <cellStyle name="Normal 10 4 2 2 2 2 2 2" xfId="8453" xr:uid="{00000000-0005-0000-0000-000050020000}"/>
    <cellStyle name="Normal 10 4 2 2 2 2 3" xfId="6331" xr:uid="{00000000-0005-0000-0000-000051020000}"/>
    <cellStyle name="Normal 10 4 2 2 2 3" xfId="3148" xr:uid="{00000000-0005-0000-0000-000052020000}"/>
    <cellStyle name="Normal 10 4 2 2 2 3 2" xfId="7394" xr:uid="{00000000-0005-0000-0000-000053020000}"/>
    <cellStyle name="Normal 10 4 2 2 2 4" xfId="5272" xr:uid="{00000000-0005-0000-0000-000054020000}"/>
    <cellStyle name="Normal 10 4 2 2 3" xfId="1556" xr:uid="{00000000-0005-0000-0000-000055020000}"/>
    <cellStyle name="Normal 10 4 2 2 3 2" xfId="3678" xr:uid="{00000000-0005-0000-0000-000056020000}"/>
    <cellStyle name="Normal 10 4 2 2 3 2 2" xfId="7924" xr:uid="{00000000-0005-0000-0000-000057020000}"/>
    <cellStyle name="Normal 10 4 2 2 3 3" xfId="5802" xr:uid="{00000000-0005-0000-0000-000058020000}"/>
    <cellStyle name="Normal 10 4 2 2 4" xfId="2619" xr:uid="{00000000-0005-0000-0000-000059020000}"/>
    <cellStyle name="Normal 10 4 2 2 4 2" xfId="6865" xr:uid="{00000000-0005-0000-0000-00005A020000}"/>
    <cellStyle name="Normal 10 4 2 2 5" xfId="4743" xr:uid="{00000000-0005-0000-0000-00005B020000}"/>
    <cellStyle name="Normal 10 4 2 3" xfId="763" xr:uid="{00000000-0005-0000-0000-00005C020000}"/>
    <cellStyle name="Normal 10 4 2 3 2" xfId="1822" xr:uid="{00000000-0005-0000-0000-00005D020000}"/>
    <cellStyle name="Normal 10 4 2 3 2 2" xfId="3944" xr:uid="{00000000-0005-0000-0000-00005E020000}"/>
    <cellStyle name="Normal 10 4 2 3 2 2 2" xfId="8190" xr:uid="{00000000-0005-0000-0000-00005F020000}"/>
    <cellStyle name="Normal 10 4 2 3 2 3" xfId="6068" xr:uid="{00000000-0005-0000-0000-000060020000}"/>
    <cellStyle name="Normal 10 4 2 3 3" xfId="2885" xr:uid="{00000000-0005-0000-0000-000061020000}"/>
    <cellStyle name="Normal 10 4 2 3 3 2" xfId="7131" xr:uid="{00000000-0005-0000-0000-000062020000}"/>
    <cellStyle name="Normal 10 4 2 3 4" xfId="5009" xr:uid="{00000000-0005-0000-0000-000063020000}"/>
    <cellStyle name="Normal 10 4 2 4" xfId="1293" xr:uid="{00000000-0005-0000-0000-000064020000}"/>
    <cellStyle name="Normal 10 4 2 4 2" xfId="3415" xr:uid="{00000000-0005-0000-0000-000065020000}"/>
    <cellStyle name="Normal 10 4 2 4 2 2" xfId="7661" xr:uid="{00000000-0005-0000-0000-000066020000}"/>
    <cellStyle name="Normal 10 4 2 4 3" xfId="5539" xr:uid="{00000000-0005-0000-0000-000067020000}"/>
    <cellStyle name="Normal 10 4 2 5" xfId="2356" xr:uid="{00000000-0005-0000-0000-000068020000}"/>
    <cellStyle name="Normal 10 4 2 5 2" xfId="6602" xr:uid="{00000000-0005-0000-0000-000069020000}"/>
    <cellStyle name="Normal 10 4 2 6" xfId="4480" xr:uid="{00000000-0005-0000-0000-00006A020000}"/>
    <cellStyle name="Normal 10 4 3" xfId="365" xr:uid="{00000000-0005-0000-0000-00006B020000}"/>
    <cellStyle name="Normal 10 4 3 2" xfId="895" xr:uid="{00000000-0005-0000-0000-00006C020000}"/>
    <cellStyle name="Normal 10 4 3 2 2" xfId="1954" xr:uid="{00000000-0005-0000-0000-00006D020000}"/>
    <cellStyle name="Normal 10 4 3 2 2 2" xfId="4076" xr:uid="{00000000-0005-0000-0000-00006E020000}"/>
    <cellStyle name="Normal 10 4 3 2 2 2 2" xfId="8322" xr:uid="{00000000-0005-0000-0000-00006F020000}"/>
    <cellStyle name="Normal 10 4 3 2 2 3" xfId="6200" xr:uid="{00000000-0005-0000-0000-000070020000}"/>
    <cellStyle name="Normal 10 4 3 2 3" xfId="3017" xr:uid="{00000000-0005-0000-0000-000071020000}"/>
    <cellStyle name="Normal 10 4 3 2 3 2" xfId="7263" xr:uid="{00000000-0005-0000-0000-000072020000}"/>
    <cellStyle name="Normal 10 4 3 2 4" xfId="5141" xr:uid="{00000000-0005-0000-0000-000073020000}"/>
    <cellStyle name="Normal 10 4 3 3" xfId="1425" xr:uid="{00000000-0005-0000-0000-000074020000}"/>
    <cellStyle name="Normal 10 4 3 3 2" xfId="3547" xr:uid="{00000000-0005-0000-0000-000075020000}"/>
    <cellStyle name="Normal 10 4 3 3 2 2" xfId="7793" xr:uid="{00000000-0005-0000-0000-000076020000}"/>
    <cellStyle name="Normal 10 4 3 3 3" xfId="5671" xr:uid="{00000000-0005-0000-0000-000077020000}"/>
    <cellStyle name="Normal 10 4 3 4" xfId="2488" xr:uid="{00000000-0005-0000-0000-000078020000}"/>
    <cellStyle name="Normal 10 4 3 4 2" xfId="6734" xr:uid="{00000000-0005-0000-0000-000079020000}"/>
    <cellStyle name="Normal 10 4 3 5" xfId="4612" xr:uid="{00000000-0005-0000-0000-00007A020000}"/>
    <cellStyle name="Normal 10 4 4" xfId="632" xr:uid="{00000000-0005-0000-0000-00007B020000}"/>
    <cellStyle name="Normal 10 4 4 2" xfId="1691" xr:uid="{00000000-0005-0000-0000-00007C020000}"/>
    <cellStyle name="Normal 10 4 4 2 2" xfId="3813" xr:uid="{00000000-0005-0000-0000-00007D020000}"/>
    <cellStyle name="Normal 10 4 4 2 2 2" xfId="8059" xr:uid="{00000000-0005-0000-0000-00007E020000}"/>
    <cellStyle name="Normal 10 4 4 2 3" xfId="5937" xr:uid="{00000000-0005-0000-0000-00007F020000}"/>
    <cellStyle name="Normal 10 4 4 3" xfId="2754" xr:uid="{00000000-0005-0000-0000-000080020000}"/>
    <cellStyle name="Normal 10 4 4 3 2" xfId="7000" xr:uid="{00000000-0005-0000-0000-000081020000}"/>
    <cellStyle name="Normal 10 4 4 4" xfId="4878" xr:uid="{00000000-0005-0000-0000-000082020000}"/>
    <cellStyle name="Normal 10 4 5" xfId="1162" xr:uid="{00000000-0005-0000-0000-000083020000}"/>
    <cellStyle name="Normal 10 4 5 2" xfId="3284" xr:uid="{00000000-0005-0000-0000-000084020000}"/>
    <cellStyle name="Normal 10 4 5 2 2" xfId="7530" xr:uid="{00000000-0005-0000-0000-000085020000}"/>
    <cellStyle name="Normal 10 4 5 3" xfId="5408" xr:uid="{00000000-0005-0000-0000-000086020000}"/>
    <cellStyle name="Normal 10 4 6" xfId="2225" xr:uid="{00000000-0005-0000-0000-000087020000}"/>
    <cellStyle name="Normal 10 4 6 2" xfId="6471" xr:uid="{00000000-0005-0000-0000-000088020000}"/>
    <cellStyle name="Normal 10 4 7" xfId="4349" xr:uid="{00000000-0005-0000-0000-000089020000}"/>
    <cellStyle name="Normal 10 5" xfId="59" xr:uid="{00000000-0005-0000-0000-00008A020000}"/>
    <cellStyle name="Normal 10 5 2" xfId="191" xr:uid="{00000000-0005-0000-0000-00008B020000}"/>
    <cellStyle name="Normal 10 5 2 2" xfId="454" xr:uid="{00000000-0005-0000-0000-00008C020000}"/>
    <cellStyle name="Normal 10 5 2 2 2" xfId="984" xr:uid="{00000000-0005-0000-0000-00008D020000}"/>
    <cellStyle name="Normal 10 5 2 2 2 2" xfId="2043" xr:uid="{00000000-0005-0000-0000-00008E020000}"/>
    <cellStyle name="Normal 10 5 2 2 2 2 2" xfId="4165" xr:uid="{00000000-0005-0000-0000-00008F020000}"/>
    <cellStyle name="Normal 10 5 2 2 2 2 2 2" xfId="8411" xr:uid="{00000000-0005-0000-0000-000090020000}"/>
    <cellStyle name="Normal 10 5 2 2 2 2 3" xfId="6289" xr:uid="{00000000-0005-0000-0000-000091020000}"/>
    <cellStyle name="Normal 10 5 2 2 2 3" xfId="3106" xr:uid="{00000000-0005-0000-0000-000092020000}"/>
    <cellStyle name="Normal 10 5 2 2 2 3 2" xfId="7352" xr:uid="{00000000-0005-0000-0000-000093020000}"/>
    <cellStyle name="Normal 10 5 2 2 2 4" xfId="5230" xr:uid="{00000000-0005-0000-0000-000094020000}"/>
    <cellStyle name="Normal 10 5 2 2 3" xfId="1514" xr:uid="{00000000-0005-0000-0000-000095020000}"/>
    <cellStyle name="Normal 10 5 2 2 3 2" xfId="3636" xr:uid="{00000000-0005-0000-0000-000096020000}"/>
    <cellStyle name="Normal 10 5 2 2 3 2 2" xfId="7882" xr:uid="{00000000-0005-0000-0000-000097020000}"/>
    <cellStyle name="Normal 10 5 2 2 3 3" xfId="5760" xr:uid="{00000000-0005-0000-0000-000098020000}"/>
    <cellStyle name="Normal 10 5 2 2 4" xfId="2577" xr:uid="{00000000-0005-0000-0000-000099020000}"/>
    <cellStyle name="Normal 10 5 2 2 4 2" xfId="6823" xr:uid="{00000000-0005-0000-0000-00009A020000}"/>
    <cellStyle name="Normal 10 5 2 2 5" xfId="4701" xr:uid="{00000000-0005-0000-0000-00009B020000}"/>
    <cellStyle name="Normal 10 5 2 3" xfId="721" xr:uid="{00000000-0005-0000-0000-00009C020000}"/>
    <cellStyle name="Normal 10 5 2 3 2" xfId="1780" xr:uid="{00000000-0005-0000-0000-00009D020000}"/>
    <cellStyle name="Normal 10 5 2 3 2 2" xfId="3902" xr:uid="{00000000-0005-0000-0000-00009E020000}"/>
    <cellStyle name="Normal 10 5 2 3 2 2 2" xfId="8148" xr:uid="{00000000-0005-0000-0000-00009F020000}"/>
    <cellStyle name="Normal 10 5 2 3 2 3" xfId="6026" xr:uid="{00000000-0005-0000-0000-0000A0020000}"/>
    <cellStyle name="Normal 10 5 2 3 3" xfId="2843" xr:uid="{00000000-0005-0000-0000-0000A1020000}"/>
    <cellStyle name="Normal 10 5 2 3 3 2" xfId="7089" xr:uid="{00000000-0005-0000-0000-0000A2020000}"/>
    <cellStyle name="Normal 10 5 2 3 4" xfId="4967" xr:uid="{00000000-0005-0000-0000-0000A3020000}"/>
    <cellStyle name="Normal 10 5 2 4" xfId="1251" xr:uid="{00000000-0005-0000-0000-0000A4020000}"/>
    <cellStyle name="Normal 10 5 2 4 2" xfId="3373" xr:uid="{00000000-0005-0000-0000-0000A5020000}"/>
    <cellStyle name="Normal 10 5 2 4 2 2" xfId="7619" xr:uid="{00000000-0005-0000-0000-0000A6020000}"/>
    <cellStyle name="Normal 10 5 2 4 3" xfId="5497" xr:uid="{00000000-0005-0000-0000-0000A7020000}"/>
    <cellStyle name="Normal 10 5 2 5" xfId="2314" xr:uid="{00000000-0005-0000-0000-0000A8020000}"/>
    <cellStyle name="Normal 10 5 2 5 2" xfId="6560" xr:uid="{00000000-0005-0000-0000-0000A9020000}"/>
    <cellStyle name="Normal 10 5 2 6" xfId="4438" xr:uid="{00000000-0005-0000-0000-0000AA020000}"/>
    <cellStyle name="Normal 10 5 3" xfId="323" xr:uid="{00000000-0005-0000-0000-0000AB020000}"/>
    <cellStyle name="Normal 10 5 3 2" xfId="853" xr:uid="{00000000-0005-0000-0000-0000AC020000}"/>
    <cellStyle name="Normal 10 5 3 2 2" xfId="1912" xr:uid="{00000000-0005-0000-0000-0000AD020000}"/>
    <cellStyle name="Normal 10 5 3 2 2 2" xfId="4034" xr:uid="{00000000-0005-0000-0000-0000AE020000}"/>
    <cellStyle name="Normal 10 5 3 2 2 2 2" xfId="8280" xr:uid="{00000000-0005-0000-0000-0000AF020000}"/>
    <cellStyle name="Normal 10 5 3 2 2 3" xfId="6158" xr:uid="{00000000-0005-0000-0000-0000B0020000}"/>
    <cellStyle name="Normal 10 5 3 2 3" xfId="2975" xr:uid="{00000000-0005-0000-0000-0000B1020000}"/>
    <cellStyle name="Normal 10 5 3 2 3 2" xfId="7221" xr:uid="{00000000-0005-0000-0000-0000B2020000}"/>
    <cellStyle name="Normal 10 5 3 2 4" xfId="5099" xr:uid="{00000000-0005-0000-0000-0000B3020000}"/>
    <cellStyle name="Normal 10 5 3 3" xfId="1383" xr:uid="{00000000-0005-0000-0000-0000B4020000}"/>
    <cellStyle name="Normal 10 5 3 3 2" xfId="3505" xr:uid="{00000000-0005-0000-0000-0000B5020000}"/>
    <cellStyle name="Normal 10 5 3 3 2 2" xfId="7751" xr:uid="{00000000-0005-0000-0000-0000B6020000}"/>
    <cellStyle name="Normal 10 5 3 3 3" xfId="5629" xr:uid="{00000000-0005-0000-0000-0000B7020000}"/>
    <cellStyle name="Normal 10 5 3 4" xfId="2446" xr:uid="{00000000-0005-0000-0000-0000B8020000}"/>
    <cellStyle name="Normal 10 5 3 4 2" xfId="6692" xr:uid="{00000000-0005-0000-0000-0000B9020000}"/>
    <cellStyle name="Normal 10 5 3 5" xfId="4570" xr:uid="{00000000-0005-0000-0000-0000BA020000}"/>
    <cellStyle name="Normal 10 5 4" xfId="590" xr:uid="{00000000-0005-0000-0000-0000BB020000}"/>
    <cellStyle name="Normal 10 5 4 2" xfId="1649" xr:uid="{00000000-0005-0000-0000-0000BC020000}"/>
    <cellStyle name="Normal 10 5 4 2 2" xfId="3771" xr:uid="{00000000-0005-0000-0000-0000BD020000}"/>
    <cellStyle name="Normal 10 5 4 2 2 2" xfId="8017" xr:uid="{00000000-0005-0000-0000-0000BE020000}"/>
    <cellStyle name="Normal 10 5 4 2 3" xfId="5895" xr:uid="{00000000-0005-0000-0000-0000BF020000}"/>
    <cellStyle name="Normal 10 5 4 3" xfId="2712" xr:uid="{00000000-0005-0000-0000-0000C0020000}"/>
    <cellStyle name="Normal 10 5 4 3 2" xfId="6958" xr:uid="{00000000-0005-0000-0000-0000C1020000}"/>
    <cellStyle name="Normal 10 5 4 4" xfId="4836" xr:uid="{00000000-0005-0000-0000-0000C2020000}"/>
    <cellStyle name="Normal 10 5 5" xfId="1120" xr:uid="{00000000-0005-0000-0000-0000C3020000}"/>
    <cellStyle name="Normal 10 5 5 2" xfId="3242" xr:uid="{00000000-0005-0000-0000-0000C4020000}"/>
    <cellStyle name="Normal 10 5 5 2 2" xfId="7488" xr:uid="{00000000-0005-0000-0000-0000C5020000}"/>
    <cellStyle name="Normal 10 5 5 3" xfId="5366" xr:uid="{00000000-0005-0000-0000-0000C6020000}"/>
    <cellStyle name="Normal 10 5 6" xfId="2183" xr:uid="{00000000-0005-0000-0000-0000C7020000}"/>
    <cellStyle name="Normal 10 5 6 2" xfId="6429" xr:uid="{00000000-0005-0000-0000-0000C8020000}"/>
    <cellStyle name="Normal 10 5 7" xfId="4307" xr:uid="{00000000-0005-0000-0000-0000C9020000}"/>
    <cellStyle name="Normal 10 6" xfId="147" xr:uid="{00000000-0005-0000-0000-0000CA020000}"/>
    <cellStyle name="Normal 10 6 2" xfId="410" xr:uid="{00000000-0005-0000-0000-0000CB020000}"/>
    <cellStyle name="Normal 10 6 2 2" xfId="940" xr:uid="{00000000-0005-0000-0000-0000CC020000}"/>
    <cellStyle name="Normal 10 6 2 2 2" xfId="1999" xr:uid="{00000000-0005-0000-0000-0000CD020000}"/>
    <cellStyle name="Normal 10 6 2 2 2 2" xfId="4121" xr:uid="{00000000-0005-0000-0000-0000CE020000}"/>
    <cellStyle name="Normal 10 6 2 2 2 2 2" xfId="8367" xr:uid="{00000000-0005-0000-0000-0000CF020000}"/>
    <cellStyle name="Normal 10 6 2 2 2 3" xfId="6245" xr:uid="{00000000-0005-0000-0000-0000D0020000}"/>
    <cellStyle name="Normal 10 6 2 2 3" xfId="3062" xr:uid="{00000000-0005-0000-0000-0000D1020000}"/>
    <cellStyle name="Normal 10 6 2 2 3 2" xfId="7308" xr:uid="{00000000-0005-0000-0000-0000D2020000}"/>
    <cellStyle name="Normal 10 6 2 2 4" xfId="5186" xr:uid="{00000000-0005-0000-0000-0000D3020000}"/>
    <cellStyle name="Normal 10 6 2 3" xfId="1470" xr:uid="{00000000-0005-0000-0000-0000D4020000}"/>
    <cellStyle name="Normal 10 6 2 3 2" xfId="3592" xr:uid="{00000000-0005-0000-0000-0000D5020000}"/>
    <cellStyle name="Normal 10 6 2 3 2 2" xfId="7838" xr:uid="{00000000-0005-0000-0000-0000D6020000}"/>
    <cellStyle name="Normal 10 6 2 3 3" xfId="5716" xr:uid="{00000000-0005-0000-0000-0000D7020000}"/>
    <cellStyle name="Normal 10 6 2 4" xfId="2533" xr:uid="{00000000-0005-0000-0000-0000D8020000}"/>
    <cellStyle name="Normal 10 6 2 4 2" xfId="6779" xr:uid="{00000000-0005-0000-0000-0000D9020000}"/>
    <cellStyle name="Normal 10 6 2 5" xfId="4657" xr:uid="{00000000-0005-0000-0000-0000DA020000}"/>
    <cellStyle name="Normal 10 6 3" xfId="677" xr:uid="{00000000-0005-0000-0000-0000DB020000}"/>
    <cellStyle name="Normal 10 6 3 2" xfId="1736" xr:uid="{00000000-0005-0000-0000-0000DC020000}"/>
    <cellStyle name="Normal 10 6 3 2 2" xfId="3858" xr:uid="{00000000-0005-0000-0000-0000DD020000}"/>
    <cellStyle name="Normal 10 6 3 2 2 2" xfId="8104" xr:uid="{00000000-0005-0000-0000-0000DE020000}"/>
    <cellStyle name="Normal 10 6 3 2 3" xfId="5982" xr:uid="{00000000-0005-0000-0000-0000DF020000}"/>
    <cellStyle name="Normal 10 6 3 3" xfId="2799" xr:uid="{00000000-0005-0000-0000-0000E0020000}"/>
    <cellStyle name="Normal 10 6 3 3 2" xfId="7045" xr:uid="{00000000-0005-0000-0000-0000E1020000}"/>
    <cellStyle name="Normal 10 6 3 4" xfId="4923" xr:uid="{00000000-0005-0000-0000-0000E2020000}"/>
    <cellStyle name="Normal 10 6 4" xfId="1207" xr:uid="{00000000-0005-0000-0000-0000E3020000}"/>
    <cellStyle name="Normal 10 6 4 2" xfId="3329" xr:uid="{00000000-0005-0000-0000-0000E4020000}"/>
    <cellStyle name="Normal 10 6 4 2 2" xfId="7575" xr:uid="{00000000-0005-0000-0000-0000E5020000}"/>
    <cellStyle name="Normal 10 6 4 3" xfId="5453" xr:uid="{00000000-0005-0000-0000-0000E6020000}"/>
    <cellStyle name="Normal 10 6 5" xfId="2270" xr:uid="{00000000-0005-0000-0000-0000E7020000}"/>
    <cellStyle name="Normal 10 6 5 2" xfId="6516" xr:uid="{00000000-0005-0000-0000-0000E8020000}"/>
    <cellStyle name="Normal 10 6 6" xfId="4394" xr:uid="{00000000-0005-0000-0000-0000E9020000}"/>
    <cellStyle name="Normal 10 7" xfId="279" xr:uid="{00000000-0005-0000-0000-0000EA020000}"/>
    <cellStyle name="Normal 10 7 2" xfId="809" xr:uid="{00000000-0005-0000-0000-0000EB020000}"/>
    <cellStyle name="Normal 10 7 2 2" xfId="1868" xr:uid="{00000000-0005-0000-0000-0000EC020000}"/>
    <cellStyle name="Normal 10 7 2 2 2" xfId="3990" xr:uid="{00000000-0005-0000-0000-0000ED020000}"/>
    <cellStyle name="Normal 10 7 2 2 2 2" xfId="8236" xr:uid="{00000000-0005-0000-0000-0000EE020000}"/>
    <cellStyle name="Normal 10 7 2 2 3" xfId="6114" xr:uid="{00000000-0005-0000-0000-0000EF020000}"/>
    <cellStyle name="Normal 10 7 2 3" xfId="2931" xr:uid="{00000000-0005-0000-0000-0000F0020000}"/>
    <cellStyle name="Normal 10 7 2 3 2" xfId="7177" xr:uid="{00000000-0005-0000-0000-0000F1020000}"/>
    <cellStyle name="Normal 10 7 2 4" xfId="5055" xr:uid="{00000000-0005-0000-0000-0000F2020000}"/>
    <cellStyle name="Normal 10 7 3" xfId="1339" xr:uid="{00000000-0005-0000-0000-0000F3020000}"/>
    <cellStyle name="Normal 10 7 3 2" xfId="3461" xr:uid="{00000000-0005-0000-0000-0000F4020000}"/>
    <cellStyle name="Normal 10 7 3 2 2" xfId="7707" xr:uid="{00000000-0005-0000-0000-0000F5020000}"/>
    <cellStyle name="Normal 10 7 3 3" xfId="5585" xr:uid="{00000000-0005-0000-0000-0000F6020000}"/>
    <cellStyle name="Normal 10 7 4" xfId="2402" xr:uid="{00000000-0005-0000-0000-0000F7020000}"/>
    <cellStyle name="Normal 10 7 4 2" xfId="6648" xr:uid="{00000000-0005-0000-0000-0000F8020000}"/>
    <cellStyle name="Normal 10 7 5" xfId="4526" xr:uid="{00000000-0005-0000-0000-0000F9020000}"/>
    <cellStyle name="Normal 10 8" xfId="546" xr:uid="{00000000-0005-0000-0000-0000FA020000}"/>
    <cellStyle name="Normal 10 8 2" xfId="1605" xr:uid="{00000000-0005-0000-0000-0000FB020000}"/>
    <cellStyle name="Normal 10 8 2 2" xfId="3727" xr:uid="{00000000-0005-0000-0000-0000FC020000}"/>
    <cellStyle name="Normal 10 8 2 2 2" xfId="7973" xr:uid="{00000000-0005-0000-0000-0000FD020000}"/>
    <cellStyle name="Normal 10 8 2 3" xfId="5851" xr:uid="{00000000-0005-0000-0000-0000FE020000}"/>
    <cellStyle name="Normal 10 8 3" xfId="2668" xr:uid="{00000000-0005-0000-0000-0000FF020000}"/>
    <cellStyle name="Normal 10 8 3 2" xfId="6914" xr:uid="{00000000-0005-0000-0000-000000030000}"/>
    <cellStyle name="Normal 10 8 4" xfId="4792" xr:uid="{00000000-0005-0000-0000-000001030000}"/>
    <cellStyle name="Normal 10 9" xfId="1076" xr:uid="{00000000-0005-0000-0000-000002030000}"/>
    <cellStyle name="Normal 10 9 2" xfId="3198" xr:uid="{00000000-0005-0000-0000-000003030000}"/>
    <cellStyle name="Normal 10 9 2 2" xfId="7444" xr:uid="{00000000-0005-0000-0000-000004030000}"/>
    <cellStyle name="Normal 10 9 3" xfId="5322" xr:uid="{00000000-0005-0000-0000-000005030000}"/>
    <cellStyle name="Normal 11" xfId="17" xr:uid="{00000000-0005-0000-0000-000006030000}"/>
    <cellStyle name="Normal 11 2" xfId="38" xr:uid="{00000000-0005-0000-0000-000007030000}"/>
    <cellStyle name="Normal 11 2 2" xfId="124" xr:uid="{00000000-0005-0000-0000-000008030000}"/>
    <cellStyle name="Normal 11 2 2 2" xfId="255" xr:uid="{00000000-0005-0000-0000-000009030000}"/>
    <cellStyle name="Normal 11 2 2 2 2" xfId="518" xr:uid="{00000000-0005-0000-0000-00000A030000}"/>
    <cellStyle name="Normal 11 2 2 2 2 2" xfId="1048" xr:uid="{00000000-0005-0000-0000-00000B030000}"/>
    <cellStyle name="Normal 11 2 2 2 2 2 2" xfId="2107" xr:uid="{00000000-0005-0000-0000-00000C030000}"/>
    <cellStyle name="Normal 11 2 2 2 2 2 2 2" xfId="4229" xr:uid="{00000000-0005-0000-0000-00000D030000}"/>
    <cellStyle name="Normal 11 2 2 2 2 2 2 2 2" xfId="8475" xr:uid="{00000000-0005-0000-0000-00000E030000}"/>
    <cellStyle name="Normal 11 2 2 2 2 2 2 3" xfId="6353" xr:uid="{00000000-0005-0000-0000-00000F030000}"/>
    <cellStyle name="Normal 11 2 2 2 2 2 3" xfId="3170" xr:uid="{00000000-0005-0000-0000-000010030000}"/>
    <cellStyle name="Normal 11 2 2 2 2 2 3 2" xfId="7416" xr:uid="{00000000-0005-0000-0000-000011030000}"/>
    <cellStyle name="Normal 11 2 2 2 2 2 4" xfId="5294" xr:uid="{00000000-0005-0000-0000-000012030000}"/>
    <cellStyle name="Normal 11 2 2 2 2 3" xfId="1578" xr:uid="{00000000-0005-0000-0000-000013030000}"/>
    <cellStyle name="Normal 11 2 2 2 2 3 2" xfId="3700" xr:uid="{00000000-0005-0000-0000-000014030000}"/>
    <cellStyle name="Normal 11 2 2 2 2 3 2 2" xfId="7946" xr:uid="{00000000-0005-0000-0000-000015030000}"/>
    <cellStyle name="Normal 11 2 2 2 2 3 3" xfId="5824" xr:uid="{00000000-0005-0000-0000-000016030000}"/>
    <cellStyle name="Normal 11 2 2 2 2 4" xfId="2641" xr:uid="{00000000-0005-0000-0000-000017030000}"/>
    <cellStyle name="Normal 11 2 2 2 2 4 2" xfId="6887" xr:uid="{00000000-0005-0000-0000-000018030000}"/>
    <cellStyle name="Normal 11 2 2 2 2 5" xfId="4765" xr:uid="{00000000-0005-0000-0000-000019030000}"/>
    <cellStyle name="Normal 11 2 2 2 3" xfId="785" xr:uid="{00000000-0005-0000-0000-00001A030000}"/>
    <cellStyle name="Normal 11 2 2 2 3 2" xfId="1844" xr:uid="{00000000-0005-0000-0000-00001B030000}"/>
    <cellStyle name="Normal 11 2 2 2 3 2 2" xfId="3966" xr:uid="{00000000-0005-0000-0000-00001C030000}"/>
    <cellStyle name="Normal 11 2 2 2 3 2 2 2" xfId="8212" xr:uid="{00000000-0005-0000-0000-00001D030000}"/>
    <cellStyle name="Normal 11 2 2 2 3 2 3" xfId="6090" xr:uid="{00000000-0005-0000-0000-00001E030000}"/>
    <cellStyle name="Normal 11 2 2 2 3 3" xfId="2907" xr:uid="{00000000-0005-0000-0000-00001F030000}"/>
    <cellStyle name="Normal 11 2 2 2 3 3 2" xfId="7153" xr:uid="{00000000-0005-0000-0000-000020030000}"/>
    <cellStyle name="Normal 11 2 2 2 3 4" xfId="5031" xr:uid="{00000000-0005-0000-0000-000021030000}"/>
    <cellStyle name="Normal 11 2 2 2 4" xfId="1315" xr:uid="{00000000-0005-0000-0000-000022030000}"/>
    <cellStyle name="Normal 11 2 2 2 4 2" xfId="3437" xr:uid="{00000000-0005-0000-0000-000023030000}"/>
    <cellStyle name="Normal 11 2 2 2 4 2 2" xfId="7683" xr:uid="{00000000-0005-0000-0000-000024030000}"/>
    <cellStyle name="Normal 11 2 2 2 4 3" xfId="5561" xr:uid="{00000000-0005-0000-0000-000025030000}"/>
    <cellStyle name="Normal 11 2 2 2 5" xfId="2378" xr:uid="{00000000-0005-0000-0000-000026030000}"/>
    <cellStyle name="Normal 11 2 2 2 5 2" xfId="6624" xr:uid="{00000000-0005-0000-0000-000027030000}"/>
    <cellStyle name="Normal 11 2 2 2 6" xfId="4502" xr:uid="{00000000-0005-0000-0000-000028030000}"/>
    <cellStyle name="Normal 11 2 2 3" xfId="387" xr:uid="{00000000-0005-0000-0000-000029030000}"/>
    <cellStyle name="Normal 11 2 2 3 2" xfId="917" xr:uid="{00000000-0005-0000-0000-00002A030000}"/>
    <cellStyle name="Normal 11 2 2 3 2 2" xfId="1976" xr:uid="{00000000-0005-0000-0000-00002B030000}"/>
    <cellStyle name="Normal 11 2 2 3 2 2 2" xfId="4098" xr:uid="{00000000-0005-0000-0000-00002C030000}"/>
    <cellStyle name="Normal 11 2 2 3 2 2 2 2" xfId="8344" xr:uid="{00000000-0005-0000-0000-00002D030000}"/>
    <cellStyle name="Normal 11 2 2 3 2 2 3" xfId="6222" xr:uid="{00000000-0005-0000-0000-00002E030000}"/>
    <cellStyle name="Normal 11 2 2 3 2 3" xfId="3039" xr:uid="{00000000-0005-0000-0000-00002F030000}"/>
    <cellStyle name="Normal 11 2 2 3 2 3 2" xfId="7285" xr:uid="{00000000-0005-0000-0000-000030030000}"/>
    <cellStyle name="Normal 11 2 2 3 2 4" xfId="5163" xr:uid="{00000000-0005-0000-0000-000031030000}"/>
    <cellStyle name="Normal 11 2 2 3 3" xfId="1447" xr:uid="{00000000-0005-0000-0000-000032030000}"/>
    <cellStyle name="Normal 11 2 2 3 3 2" xfId="3569" xr:uid="{00000000-0005-0000-0000-000033030000}"/>
    <cellStyle name="Normal 11 2 2 3 3 2 2" xfId="7815" xr:uid="{00000000-0005-0000-0000-000034030000}"/>
    <cellStyle name="Normal 11 2 2 3 3 3" xfId="5693" xr:uid="{00000000-0005-0000-0000-000035030000}"/>
    <cellStyle name="Normal 11 2 2 3 4" xfId="2510" xr:uid="{00000000-0005-0000-0000-000036030000}"/>
    <cellStyle name="Normal 11 2 2 3 4 2" xfId="6756" xr:uid="{00000000-0005-0000-0000-000037030000}"/>
    <cellStyle name="Normal 11 2 2 3 5" xfId="4634" xr:uid="{00000000-0005-0000-0000-000038030000}"/>
    <cellStyle name="Normal 11 2 2 4" xfId="654" xr:uid="{00000000-0005-0000-0000-000039030000}"/>
    <cellStyle name="Normal 11 2 2 4 2" xfId="1713" xr:uid="{00000000-0005-0000-0000-00003A030000}"/>
    <cellStyle name="Normal 11 2 2 4 2 2" xfId="3835" xr:uid="{00000000-0005-0000-0000-00003B030000}"/>
    <cellStyle name="Normal 11 2 2 4 2 2 2" xfId="8081" xr:uid="{00000000-0005-0000-0000-00003C030000}"/>
    <cellStyle name="Normal 11 2 2 4 2 3" xfId="5959" xr:uid="{00000000-0005-0000-0000-00003D030000}"/>
    <cellStyle name="Normal 11 2 2 4 3" xfId="2776" xr:uid="{00000000-0005-0000-0000-00003E030000}"/>
    <cellStyle name="Normal 11 2 2 4 3 2" xfId="7022" xr:uid="{00000000-0005-0000-0000-00003F030000}"/>
    <cellStyle name="Normal 11 2 2 4 4" xfId="4900" xr:uid="{00000000-0005-0000-0000-000040030000}"/>
    <cellStyle name="Normal 11 2 2 5" xfId="1184" xr:uid="{00000000-0005-0000-0000-000041030000}"/>
    <cellStyle name="Normal 11 2 2 5 2" xfId="3306" xr:uid="{00000000-0005-0000-0000-000042030000}"/>
    <cellStyle name="Normal 11 2 2 5 2 2" xfId="7552" xr:uid="{00000000-0005-0000-0000-000043030000}"/>
    <cellStyle name="Normal 11 2 2 5 3" xfId="5430" xr:uid="{00000000-0005-0000-0000-000044030000}"/>
    <cellStyle name="Normal 11 2 2 6" xfId="2247" xr:uid="{00000000-0005-0000-0000-000045030000}"/>
    <cellStyle name="Normal 11 2 2 6 2" xfId="6493" xr:uid="{00000000-0005-0000-0000-000046030000}"/>
    <cellStyle name="Normal 11 2 2 7" xfId="4371" xr:uid="{00000000-0005-0000-0000-000047030000}"/>
    <cellStyle name="Normal 11 2 3" xfId="81" xr:uid="{00000000-0005-0000-0000-000048030000}"/>
    <cellStyle name="Normal 11 2 3 2" xfId="213" xr:uid="{00000000-0005-0000-0000-000049030000}"/>
    <cellStyle name="Normal 11 2 3 2 2" xfId="476" xr:uid="{00000000-0005-0000-0000-00004A030000}"/>
    <cellStyle name="Normal 11 2 3 2 2 2" xfId="1006" xr:uid="{00000000-0005-0000-0000-00004B030000}"/>
    <cellStyle name="Normal 11 2 3 2 2 2 2" xfId="2065" xr:uid="{00000000-0005-0000-0000-00004C030000}"/>
    <cellStyle name="Normal 11 2 3 2 2 2 2 2" xfId="4187" xr:uid="{00000000-0005-0000-0000-00004D030000}"/>
    <cellStyle name="Normal 11 2 3 2 2 2 2 2 2" xfId="8433" xr:uid="{00000000-0005-0000-0000-00004E030000}"/>
    <cellStyle name="Normal 11 2 3 2 2 2 2 3" xfId="6311" xr:uid="{00000000-0005-0000-0000-00004F030000}"/>
    <cellStyle name="Normal 11 2 3 2 2 2 3" xfId="3128" xr:uid="{00000000-0005-0000-0000-000050030000}"/>
    <cellStyle name="Normal 11 2 3 2 2 2 3 2" xfId="7374" xr:uid="{00000000-0005-0000-0000-000051030000}"/>
    <cellStyle name="Normal 11 2 3 2 2 2 4" xfId="5252" xr:uid="{00000000-0005-0000-0000-000052030000}"/>
    <cellStyle name="Normal 11 2 3 2 2 3" xfId="1536" xr:uid="{00000000-0005-0000-0000-000053030000}"/>
    <cellStyle name="Normal 11 2 3 2 2 3 2" xfId="3658" xr:uid="{00000000-0005-0000-0000-000054030000}"/>
    <cellStyle name="Normal 11 2 3 2 2 3 2 2" xfId="7904" xr:uid="{00000000-0005-0000-0000-000055030000}"/>
    <cellStyle name="Normal 11 2 3 2 2 3 3" xfId="5782" xr:uid="{00000000-0005-0000-0000-000056030000}"/>
    <cellStyle name="Normal 11 2 3 2 2 4" xfId="2599" xr:uid="{00000000-0005-0000-0000-000057030000}"/>
    <cellStyle name="Normal 11 2 3 2 2 4 2" xfId="6845" xr:uid="{00000000-0005-0000-0000-000058030000}"/>
    <cellStyle name="Normal 11 2 3 2 2 5" xfId="4723" xr:uid="{00000000-0005-0000-0000-000059030000}"/>
    <cellStyle name="Normal 11 2 3 2 3" xfId="743" xr:uid="{00000000-0005-0000-0000-00005A030000}"/>
    <cellStyle name="Normal 11 2 3 2 3 2" xfId="1802" xr:uid="{00000000-0005-0000-0000-00005B030000}"/>
    <cellStyle name="Normal 11 2 3 2 3 2 2" xfId="3924" xr:uid="{00000000-0005-0000-0000-00005C030000}"/>
    <cellStyle name="Normal 11 2 3 2 3 2 2 2" xfId="8170" xr:uid="{00000000-0005-0000-0000-00005D030000}"/>
    <cellStyle name="Normal 11 2 3 2 3 2 3" xfId="6048" xr:uid="{00000000-0005-0000-0000-00005E030000}"/>
    <cellStyle name="Normal 11 2 3 2 3 3" xfId="2865" xr:uid="{00000000-0005-0000-0000-00005F030000}"/>
    <cellStyle name="Normal 11 2 3 2 3 3 2" xfId="7111" xr:uid="{00000000-0005-0000-0000-000060030000}"/>
    <cellStyle name="Normal 11 2 3 2 3 4" xfId="4989" xr:uid="{00000000-0005-0000-0000-000061030000}"/>
    <cellStyle name="Normal 11 2 3 2 4" xfId="1273" xr:uid="{00000000-0005-0000-0000-000062030000}"/>
    <cellStyle name="Normal 11 2 3 2 4 2" xfId="3395" xr:uid="{00000000-0005-0000-0000-000063030000}"/>
    <cellStyle name="Normal 11 2 3 2 4 2 2" xfId="7641" xr:uid="{00000000-0005-0000-0000-000064030000}"/>
    <cellStyle name="Normal 11 2 3 2 4 3" xfId="5519" xr:uid="{00000000-0005-0000-0000-000065030000}"/>
    <cellStyle name="Normal 11 2 3 2 5" xfId="2336" xr:uid="{00000000-0005-0000-0000-000066030000}"/>
    <cellStyle name="Normal 11 2 3 2 5 2" xfId="6582" xr:uid="{00000000-0005-0000-0000-000067030000}"/>
    <cellStyle name="Normal 11 2 3 2 6" xfId="4460" xr:uid="{00000000-0005-0000-0000-000068030000}"/>
    <cellStyle name="Normal 11 2 3 3" xfId="345" xr:uid="{00000000-0005-0000-0000-000069030000}"/>
    <cellStyle name="Normal 11 2 3 3 2" xfId="875" xr:uid="{00000000-0005-0000-0000-00006A030000}"/>
    <cellStyle name="Normal 11 2 3 3 2 2" xfId="1934" xr:uid="{00000000-0005-0000-0000-00006B030000}"/>
    <cellStyle name="Normal 11 2 3 3 2 2 2" xfId="4056" xr:uid="{00000000-0005-0000-0000-00006C030000}"/>
    <cellStyle name="Normal 11 2 3 3 2 2 2 2" xfId="8302" xr:uid="{00000000-0005-0000-0000-00006D030000}"/>
    <cellStyle name="Normal 11 2 3 3 2 2 3" xfId="6180" xr:uid="{00000000-0005-0000-0000-00006E030000}"/>
    <cellStyle name="Normal 11 2 3 3 2 3" xfId="2997" xr:uid="{00000000-0005-0000-0000-00006F030000}"/>
    <cellStyle name="Normal 11 2 3 3 2 3 2" xfId="7243" xr:uid="{00000000-0005-0000-0000-000070030000}"/>
    <cellStyle name="Normal 11 2 3 3 2 4" xfId="5121" xr:uid="{00000000-0005-0000-0000-000071030000}"/>
    <cellStyle name="Normal 11 2 3 3 3" xfId="1405" xr:uid="{00000000-0005-0000-0000-000072030000}"/>
    <cellStyle name="Normal 11 2 3 3 3 2" xfId="3527" xr:uid="{00000000-0005-0000-0000-000073030000}"/>
    <cellStyle name="Normal 11 2 3 3 3 2 2" xfId="7773" xr:uid="{00000000-0005-0000-0000-000074030000}"/>
    <cellStyle name="Normal 11 2 3 3 3 3" xfId="5651" xr:uid="{00000000-0005-0000-0000-000075030000}"/>
    <cellStyle name="Normal 11 2 3 3 4" xfId="2468" xr:uid="{00000000-0005-0000-0000-000076030000}"/>
    <cellStyle name="Normal 11 2 3 3 4 2" xfId="6714" xr:uid="{00000000-0005-0000-0000-000077030000}"/>
    <cellStyle name="Normal 11 2 3 3 5" xfId="4592" xr:uid="{00000000-0005-0000-0000-000078030000}"/>
    <cellStyle name="Normal 11 2 3 4" xfId="612" xr:uid="{00000000-0005-0000-0000-000079030000}"/>
    <cellStyle name="Normal 11 2 3 4 2" xfId="1671" xr:uid="{00000000-0005-0000-0000-00007A030000}"/>
    <cellStyle name="Normal 11 2 3 4 2 2" xfId="3793" xr:uid="{00000000-0005-0000-0000-00007B030000}"/>
    <cellStyle name="Normal 11 2 3 4 2 2 2" xfId="8039" xr:uid="{00000000-0005-0000-0000-00007C030000}"/>
    <cellStyle name="Normal 11 2 3 4 2 3" xfId="5917" xr:uid="{00000000-0005-0000-0000-00007D030000}"/>
    <cellStyle name="Normal 11 2 3 4 3" xfId="2734" xr:uid="{00000000-0005-0000-0000-00007E030000}"/>
    <cellStyle name="Normal 11 2 3 4 3 2" xfId="6980" xr:uid="{00000000-0005-0000-0000-00007F030000}"/>
    <cellStyle name="Normal 11 2 3 4 4" xfId="4858" xr:uid="{00000000-0005-0000-0000-000080030000}"/>
    <cellStyle name="Normal 11 2 3 5" xfId="1142" xr:uid="{00000000-0005-0000-0000-000081030000}"/>
    <cellStyle name="Normal 11 2 3 5 2" xfId="3264" xr:uid="{00000000-0005-0000-0000-000082030000}"/>
    <cellStyle name="Normal 11 2 3 5 2 2" xfId="7510" xr:uid="{00000000-0005-0000-0000-000083030000}"/>
    <cellStyle name="Normal 11 2 3 5 3" xfId="5388" xr:uid="{00000000-0005-0000-0000-000084030000}"/>
    <cellStyle name="Normal 11 2 3 6" xfId="2205" xr:uid="{00000000-0005-0000-0000-000085030000}"/>
    <cellStyle name="Normal 11 2 3 6 2" xfId="6451" xr:uid="{00000000-0005-0000-0000-000086030000}"/>
    <cellStyle name="Normal 11 2 3 7" xfId="4329" xr:uid="{00000000-0005-0000-0000-000087030000}"/>
    <cellStyle name="Normal 11 2 4" xfId="170" xr:uid="{00000000-0005-0000-0000-000088030000}"/>
    <cellStyle name="Normal 11 2 4 2" xfId="433" xr:uid="{00000000-0005-0000-0000-000089030000}"/>
    <cellStyle name="Normal 11 2 4 2 2" xfId="963" xr:uid="{00000000-0005-0000-0000-00008A030000}"/>
    <cellStyle name="Normal 11 2 4 2 2 2" xfId="2022" xr:uid="{00000000-0005-0000-0000-00008B030000}"/>
    <cellStyle name="Normal 11 2 4 2 2 2 2" xfId="4144" xr:uid="{00000000-0005-0000-0000-00008C030000}"/>
    <cellStyle name="Normal 11 2 4 2 2 2 2 2" xfId="8390" xr:uid="{00000000-0005-0000-0000-00008D030000}"/>
    <cellStyle name="Normal 11 2 4 2 2 2 3" xfId="6268" xr:uid="{00000000-0005-0000-0000-00008E030000}"/>
    <cellStyle name="Normal 11 2 4 2 2 3" xfId="3085" xr:uid="{00000000-0005-0000-0000-00008F030000}"/>
    <cellStyle name="Normal 11 2 4 2 2 3 2" xfId="7331" xr:uid="{00000000-0005-0000-0000-000090030000}"/>
    <cellStyle name="Normal 11 2 4 2 2 4" xfId="5209" xr:uid="{00000000-0005-0000-0000-000091030000}"/>
    <cellStyle name="Normal 11 2 4 2 3" xfId="1493" xr:uid="{00000000-0005-0000-0000-000092030000}"/>
    <cellStyle name="Normal 11 2 4 2 3 2" xfId="3615" xr:uid="{00000000-0005-0000-0000-000093030000}"/>
    <cellStyle name="Normal 11 2 4 2 3 2 2" xfId="7861" xr:uid="{00000000-0005-0000-0000-000094030000}"/>
    <cellStyle name="Normal 11 2 4 2 3 3" xfId="5739" xr:uid="{00000000-0005-0000-0000-000095030000}"/>
    <cellStyle name="Normal 11 2 4 2 4" xfId="2556" xr:uid="{00000000-0005-0000-0000-000096030000}"/>
    <cellStyle name="Normal 11 2 4 2 4 2" xfId="6802" xr:uid="{00000000-0005-0000-0000-000097030000}"/>
    <cellStyle name="Normal 11 2 4 2 5" xfId="4680" xr:uid="{00000000-0005-0000-0000-000098030000}"/>
    <cellStyle name="Normal 11 2 4 3" xfId="700" xr:uid="{00000000-0005-0000-0000-000099030000}"/>
    <cellStyle name="Normal 11 2 4 3 2" xfId="1759" xr:uid="{00000000-0005-0000-0000-00009A030000}"/>
    <cellStyle name="Normal 11 2 4 3 2 2" xfId="3881" xr:uid="{00000000-0005-0000-0000-00009B030000}"/>
    <cellStyle name="Normal 11 2 4 3 2 2 2" xfId="8127" xr:uid="{00000000-0005-0000-0000-00009C030000}"/>
    <cellStyle name="Normal 11 2 4 3 2 3" xfId="6005" xr:uid="{00000000-0005-0000-0000-00009D030000}"/>
    <cellStyle name="Normal 11 2 4 3 3" xfId="2822" xr:uid="{00000000-0005-0000-0000-00009E030000}"/>
    <cellStyle name="Normal 11 2 4 3 3 2" xfId="7068" xr:uid="{00000000-0005-0000-0000-00009F030000}"/>
    <cellStyle name="Normal 11 2 4 3 4" xfId="4946" xr:uid="{00000000-0005-0000-0000-0000A0030000}"/>
    <cellStyle name="Normal 11 2 4 4" xfId="1230" xr:uid="{00000000-0005-0000-0000-0000A1030000}"/>
    <cellStyle name="Normal 11 2 4 4 2" xfId="3352" xr:uid="{00000000-0005-0000-0000-0000A2030000}"/>
    <cellStyle name="Normal 11 2 4 4 2 2" xfId="7598" xr:uid="{00000000-0005-0000-0000-0000A3030000}"/>
    <cellStyle name="Normal 11 2 4 4 3" xfId="5476" xr:uid="{00000000-0005-0000-0000-0000A4030000}"/>
    <cellStyle name="Normal 11 2 4 5" xfId="2293" xr:uid="{00000000-0005-0000-0000-0000A5030000}"/>
    <cellStyle name="Normal 11 2 4 5 2" xfId="6539" xr:uid="{00000000-0005-0000-0000-0000A6030000}"/>
    <cellStyle name="Normal 11 2 4 6" xfId="4417" xr:uid="{00000000-0005-0000-0000-0000A7030000}"/>
    <cellStyle name="Normal 11 2 5" xfId="302" xr:uid="{00000000-0005-0000-0000-0000A8030000}"/>
    <cellStyle name="Normal 11 2 5 2" xfId="832" xr:uid="{00000000-0005-0000-0000-0000A9030000}"/>
    <cellStyle name="Normal 11 2 5 2 2" xfId="1891" xr:uid="{00000000-0005-0000-0000-0000AA030000}"/>
    <cellStyle name="Normal 11 2 5 2 2 2" xfId="4013" xr:uid="{00000000-0005-0000-0000-0000AB030000}"/>
    <cellStyle name="Normal 11 2 5 2 2 2 2" xfId="8259" xr:uid="{00000000-0005-0000-0000-0000AC030000}"/>
    <cellStyle name="Normal 11 2 5 2 2 3" xfId="6137" xr:uid="{00000000-0005-0000-0000-0000AD030000}"/>
    <cellStyle name="Normal 11 2 5 2 3" xfId="2954" xr:uid="{00000000-0005-0000-0000-0000AE030000}"/>
    <cellStyle name="Normal 11 2 5 2 3 2" xfId="7200" xr:uid="{00000000-0005-0000-0000-0000AF030000}"/>
    <cellStyle name="Normal 11 2 5 2 4" xfId="5078" xr:uid="{00000000-0005-0000-0000-0000B0030000}"/>
    <cellStyle name="Normal 11 2 5 3" xfId="1362" xr:uid="{00000000-0005-0000-0000-0000B1030000}"/>
    <cellStyle name="Normal 11 2 5 3 2" xfId="3484" xr:uid="{00000000-0005-0000-0000-0000B2030000}"/>
    <cellStyle name="Normal 11 2 5 3 2 2" xfId="7730" xr:uid="{00000000-0005-0000-0000-0000B3030000}"/>
    <cellStyle name="Normal 11 2 5 3 3" xfId="5608" xr:uid="{00000000-0005-0000-0000-0000B4030000}"/>
    <cellStyle name="Normal 11 2 5 4" xfId="2425" xr:uid="{00000000-0005-0000-0000-0000B5030000}"/>
    <cellStyle name="Normal 11 2 5 4 2" xfId="6671" xr:uid="{00000000-0005-0000-0000-0000B6030000}"/>
    <cellStyle name="Normal 11 2 5 5" xfId="4549" xr:uid="{00000000-0005-0000-0000-0000B7030000}"/>
    <cellStyle name="Normal 11 2 6" xfId="569" xr:uid="{00000000-0005-0000-0000-0000B8030000}"/>
    <cellStyle name="Normal 11 2 6 2" xfId="1628" xr:uid="{00000000-0005-0000-0000-0000B9030000}"/>
    <cellStyle name="Normal 11 2 6 2 2" xfId="3750" xr:uid="{00000000-0005-0000-0000-0000BA030000}"/>
    <cellStyle name="Normal 11 2 6 2 2 2" xfId="7996" xr:uid="{00000000-0005-0000-0000-0000BB030000}"/>
    <cellStyle name="Normal 11 2 6 2 3" xfId="5874" xr:uid="{00000000-0005-0000-0000-0000BC030000}"/>
    <cellStyle name="Normal 11 2 6 3" xfId="2691" xr:uid="{00000000-0005-0000-0000-0000BD030000}"/>
    <cellStyle name="Normal 11 2 6 3 2" xfId="6937" xr:uid="{00000000-0005-0000-0000-0000BE030000}"/>
    <cellStyle name="Normal 11 2 6 4" xfId="4815" xr:uid="{00000000-0005-0000-0000-0000BF030000}"/>
    <cellStyle name="Normal 11 2 7" xfId="1099" xr:uid="{00000000-0005-0000-0000-0000C0030000}"/>
    <cellStyle name="Normal 11 2 7 2" xfId="3221" xr:uid="{00000000-0005-0000-0000-0000C1030000}"/>
    <cellStyle name="Normal 11 2 7 2 2" xfId="7467" xr:uid="{00000000-0005-0000-0000-0000C2030000}"/>
    <cellStyle name="Normal 11 2 7 3" xfId="5345" xr:uid="{00000000-0005-0000-0000-0000C3030000}"/>
    <cellStyle name="Normal 11 2 8" xfId="2162" xr:uid="{00000000-0005-0000-0000-0000C4030000}"/>
    <cellStyle name="Normal 11 2 8 2" xfId="6408" xr:uid="{00000000-0005-0000-0000-0000C5030000}"/>
    <cellStyle name="Normal 11 2 9" xfId="4286" xr:uid="{00000000-0005-0000-0000-0000C6030000}"/>
    <cellStyle name="Normal 11 3" xfId="149" xr:uid="{00000000-0005-0000-0000-0000C7030000}"/>
    <cellStyle name="Normal 11 3 2" xfId="412" xr:uid="{00000000-0005-0000-0000-0000C8030000}"/>
    <cellStyle name="Normal 11 3 2 2" xfId="942" xr:uid="{00000000-0005-0000-0000-0000C9030000}"/>
    <cellStyle name="Normal 11 3 2 2 2" xfId="2001" xr:uid="{00000000-0005-0000-0000-0000CA030000}"/>
    <cellStyle name="Normal 11 3 2 2 2 2" xfId="4123" xr:uid="{00000000-0005-0000-0000-0000CB030000}"/>
    <cellStyle name="Normal 11 3 2 2 2 2 2" xfId="8369" xr:uid="{00000000-0005-0000-0000-0000CC030000}"/>
    <cellStyle name="Normal 11 3 2 2 2 3" xfId="6247" xr:uid="{00000000-0005-0000-0000-0000CD030000}"/>
    <cellStyle name="Normal 11 3 2 2 3" xfId="3064" xr:uid="{00000000-0005-0000-0000-0000CE030000}"/>
    <cellStyle name="Normal 11 3 2 2 3 2" xfId="7310" xr:uid="{00000000-0005-0000-0000-0000CF030000}"/>
    <cellStyle name="Normal 11 3 2 2 4" xfId="5188" xr:uid="{00000000-0005-0000-0000-0000D0030000}"/>
    <cellStyle name="Normal 11 3 2 3" xfId="1472" xr:uid="{00000000-0005-0000-0000-0000D1030000}"/>
    <cellStyle name="Normal 11 3 2 3 2" xfId="3594" xr:uid="{00000000-0005-0000-0000-0000D2030000}"/>
    <cellStyle name="Normal 11 3 2 3 2 2" xfId="7840" xr:uid="{00000000-0005-0000-0000-0000D3030000}"/>
    <cellStyle name="Normal 11 3 2 3 3" xfId="5718" xr:uid="{00000000-0005-0000-0000-0000D4030000}"/>
    <cellStyle name="Normal 11 3 2 4" xfId="2535" xr:uid="{00000000-0005-0000-0000-0000D5030000}"/>
    <cellStyle name="Normal 11 3 2 4 2" xfId="6781" xr:uid="{00000000-0005-0000-0000-0000D6030000}"/>
    <cellStyle name="Normal 11 3 2 5" xfId="4659" xr:uid="{00000000-0005-0000-0000-0000D7030000}"/>
    <cellStyle name="Normal 11 3 3" xfId="679" xr:uid="{00000000-0005-0000-0000-0000D8030000}"/>
    <cellStyle name="Normal 11 3 3 2" xfId="1738" xr:uid="{00000000-0005-0000-0000-0000D9030000}"/>
    <cellStyle name="Normal 11 3 3 2 2" xfId="3860" xr:uid="{00000000-0005-0000-0000-0000DA030000}"/>
    <cellStyle name="Normal 11 3 3 2 2 2" xfId="8106" xr:uid="{00000000-0005-0000-0000-0000DB030000}"/>
    <cellStyle name="Normal 11 3 3 2 3" xfId="5984" xr:uid="{00000000-0005-0000-0000-0000DC030000}"/>
    <cellStyle name="Normal 11 3 3 3" xfId="2801" xr:uid="{00000000-0005-0000-0000-0000DD030000}"/>
    <cellStyle name="Normal 11 3 3 3 2" xfId="7047" xr:uid="{00000000-0005-0000-0000-0000DE030000}"/>
    <cellStyle name="Normal 11 3 3 4" xfId="4925" xr:uid="{00000000-0005-0000-0000-0000DF030000}"/>
    <cellStyle name="Normal 11 3 4" xfId="1209" xr:uid="{00000000-0005-0000-0000-0000E0030000}"/>
    <cellStyle name="Normal 11 3 4 2" xfId="3331" xr:uid="{00000000-0005-0000-0000-0000E1030000}"/>
    <cellStyle name="Normal 11 3 4 2 2" xfId="7577" xr:uid="{00000000-0005-0000-0000-0000E2030000}"/>
    <cellStyle name="Normal 11 3 4 3" xfId="5455" xr:uid="{00000000-0005-0000-0000-0000E3030000}"/>
    <cellStyle name="Normal 11 3 5" xfId="2272" xr:uid="{00000000-0005-0000-0000-0000E4030000}"/>
    <cellStyle name="Normal 11 3 5 2" xfId="6518" xr:uid="{00000000-0005-0000-0000-0000E5030000}"/>
    <cellStyle name="Normal 11 3 6" xfId="4396" xr:uid="{00000000-0005-0000-0000-0000E6030000}"/>
    <cellStyle name="Normal 11 4" xfId="281" xr:uid="{00000000-0005-0000-0000-0000E7030000}"/>
    <cellStyle name="Normal 11 4 2" xfId="811" xr:uid="{00000000-0005-0000-0000-0000E8030000}"/>
    <cellStyle name="Normal 11 4 2 2" xfId="1870" xr:uid="{00000000-0005-0000-0000-0000E9030000}"/>
    <cellStyle name="Normal 11 4 2 2 2" xfId="3992" xr:uid="{00000000-0005-0000-0000-0000EA030000}"/>
    <cellStyle name="Normal 11 4 2 2 2 2" xfId="8238" xr:uid="{00000000-0005-0000-0000-0000EB030000}"/>
    <cellStyle name="Normal 11 4 2 2 3" xfId="6116" xr:uid="{00000000-0005-0000-0000-0000EC030000}"/>
    <cellStyle name="Normal 11 4 2 3" xfId="2933" xr:uid="{00000000-0005-0000-0000-0000ED030000}"/>
    <cellStyle name="Normal 11 4 2 3 2" xfId="7179" xr:uid="{00000000-0005-0000-0000-0000EE030000}"/>
    <cellStyle name="Normal 11 4 2 4" xfId="5057" xr:uid="{00000000-0005-0000-0000-0000EF030000}"/>
    <cellStyle name="Normal 11 4 3" xfId="1341" xr:uid="{00000000-0005-0000-0000-0000F0030000}"/>
    <cellStyle name="Normal 11 4 3 2" xfId="3463" xr:uid="{00000000-0005-0000-0000-0000F1030000}"/>
    <cellStyle name="Normal 11 4 3 2 2" xfId="7709" xr:uid="{00000000-0005-0000-0000-0000F2030000}"/>
    <cellStyle name="Normal 11 4 3 3" xfId="5587" xr:uid="{00000000-0005-0000-0000-0000F3030000}"/>
    <cellStyle name="Normal 11 4 4" xfId="2404" xr:uid="{00000000-0005-0000-0000-0000F4030000}"/>
    <cellStyle name="Normal 11 4 4 2" xfId="6650" xr:uid="{00000000-0005-0000-0000-0000F5030000}"/>
    <cellStyle name="Normal 11 4 5" xfId="4528" xr:uid="{00000000-0005-0000-0000-0000F6030000}"/>
    <cellStyle name="Normal 11 5" xfId="548" xr:uid="{00000000-0005-0000-0000-0000F7030000}"/>
    <cellStyle name="Normal 11 5 2" xfId="1607" xr:uid="{00000000-0005-0000-0000-0000F8030000}"/>
    <cellStyle name="Normal 11 5 2 2" xfId="3729" xr:uid="{00000000-0005-0000-0000-0000F9030000}"/>
    <cellStyle name="Normal 11 5 2 2 2" xfId="7975" xr:uid="{00000000-0005-0000-0000-0000FA030000}"/>
    <cellStyle name="Normal 11 5 2 3" xfId="5853" xr:uid="{00000000-0005-0000-0000-0000FB030000}"/>
    <cellStyle name="Normal 11 5 3" xfId="2670" xr:uid="{00000000-0005-0000-0000-0000FC030000}"/>
    <cellStyle name="Normal 11 5 3 2" xfId="6916" xr:uid="{00000000-0005-0000-0000-0000FD030000}"/>
    <cellStyle name="Normal 11 5 4" xfId="4794" xr:uid="{00000000-0005-0000-0000-0000FE030000}"/>
    <cellStyle name="Normal 11 6" xfId="1078" xr:uid="{00000000-0005-0000-0000-0000FF030000}"/>
    <cellStyle name="Normal 11 6 2" xfId="3200" xr:uid="{00000000-0005-0000-0000-000000040000}"/>
    <cellStyle name="Normal 11 6 2 2" xfId="7446" xr:uid="{00000000-0005-0000-0000-000001040000}"/>
    <cellStyle name="Normal 11 6 3" xfId="5324" xr:uid="{00000000-0005-0000-0000-000002040000}"/>
    <cellStyle name="Normal 11 7" xfId="2141" xr:uid="{00000000-0005-0000-0000-000003040000}"/>
    <cellStyle name="Normal 11 7 2" xfId="6387" xr:uid="{00000000-0005-0000-0000-000004040000}"/>
    <cellStyle name="Normal 11 8" xfId="4265" xr:uid="{00000000-0005-0000-0000-000005040000}"/>
    <cellStyle name="Normal 12" xfId="16" xr:uid="{00000000-0005-0000-0000-000006040000}"/>
    <cellStyle name="Normal 12 10" xfId="4264" xr:uid="{00000000-0005-0000-0000-000007040000}"/>
    <cellStyle name="Normal 12 2" xfId="37" xr:uid="{00000000-0005-0000-0000-000008040000}"/>
    <cellStyle name="Normal 12 2 2" xfId="123" xr:uid="{00000000-0005-0000-0000-000009040000}"/>
    <cellStyle name="Normal 12 2 2 2" xfId="254" xr:uid="{00000000-0005-0000-0000-00000A040000}"/>
    <cellStyle name="Normal 12 2 2 2 2" xfId="517" xr:uid="{00000000-0005-0000-0000-00000B040000}"/>
    <cellStyle name="Normal 12 2 2 2 2 2" xfId="1047" xr:uid="{00000000-0005-0000-0000-00000C040000}"/>
    <cellStyle name="Normal 12 2 2 2 2 2 2" xfId="2106" xr:uid="{00000000-0005-0000-0000-00000D040000}"/>
    <cellStyle name="Normal 12 2 2 2 2 2 2 2" xfId="4228" xr:uid="{00000000-0005-0000-0000-00000E040000}"/>
    <cellStyle name="Normal 12 2 2 2 2 2 2 2 2" xfId="8474" xr:uid="{00000000-0005-0000-0000-00000F040000}"/>
    <cellStyle name="Normal 12 2 2 2 2 2 2 3" xfId="6352" xr:uid="{00000000-0005-0000-0000-000010040000}"/>
    <cellStyle name="Normal 12 2 2 2 2 2 3" xfId="3169" xr:uid="{00000000-0005-0000-0000-000011040000}"/>
    <cellStyle name="Normal 12 2 2 2 2 2 3 2" xfId="7415" xr:uid="{00000000-0005-0000-0000-000012040000}"/>
    <cellStyle name="Normal 12 2 2 2 2 2 4" xfId="5293" xr:uid="{00000000-0005-0000-0000-000013040000}"/>
    <cellStyle name="Normal 12 2 2 2 2 3" xfId="1577" xr:uid="{00000000-0005-0000-0000-000014040000}"/>
    <cellStyle name="Normal 12 2 2 2 2 3 2" xfId="3699" xr:uid="{00000000-0005-0000-0000-000015040000}"/>
    <cellStyle name="Normal 12 2 2 2 2 3 2 2" xfId="7945" xr:uid="{00000000-0005-0000-0000-000016040000}"/>
    <cellStyle name="Normal 12 2 2 2 2 3 3" xfId="5823" xr:uid="{00000000-0005-0000-0000-000017040000}"/>
    <cellStyle name="Normal 12 2 2 2 2 4" xfId="2640" xr:uid="{00000000-0005-0000-0000-000018040000}"/>
    <cellStyle name="Normal 12 2 2 2 2 4 2" xfId="6886" xr:uid="{00000000-0005-0000-0000-000019040000}"/>
    <cellStyle name="Normal 12 2 2 2 2 5" xfId="4764" xr:uid="{00000000-0005-0000-0000-00001A040000}"/>
    <cellStyle name="Normal 12 2 2 2 3" xfId="784" xr:uid="{00000000-0005-0000-0000-00001B040000}"/>
    <cellStyle name="Normal 12 2 2 2 3 2" xfId="1843" xr:uid="{00000000-0005-0000-0000-00001C040000}"/>
    <cellStyle name="Normal 12 2 2 2 3 2 2" xfId="3965" xr:uid="{00000000-0005-0000-0000-00001D040000}"/>
    <cellStyle name="Normal 12 2 2 2 3 2 2 2" xfId="8211" xr:uid="{00000000-0005-0000-0000-00001E040000}"/>
    <cellStyle name="Normal 12 2 2 2 3 2 3" xfId="6089" xr:uid="{00000000-0005-0000-0000-00001F040000}"/>
    <cellStyle name="Normal 12 2 2 2 3 3" xfId="2906" xr:uid="{00000000-0005-0000-0000-000020040000}"/>
    <cellStyle name="Normal 12 2 2 2 3 3 2" xfId="7152" xr:uid="{00000000-0005-0000-0000-000021040000}"/>
    <cellStyle name="Normal 12 2 2 2 3 4" xfId="5030" xr:uid="{00000000-0005-0000-0000-000022040000}"/>
    <cellStyle name="Normal 12 2 2 2 4" xfId="1314" xr:uid="{00000000-0005-0000-0000-000023040000}"/>
    <cellStyle name="Normal 12 2 2 2 4 2" xfId="3436" xr:uid="{00000000-0005-0000-0000-000024040000}"/>
    <cellStyle name="Normal 12 2 2 2 4 2 2" xfId="7682" xr:uid="{00000000-0005-0000-0000-000025040000}"/>
    <cellStyle name="Normal 12 2 2 2 4 3" xfId="5560" xr:uid="{00000000-0005-0000-0000-000026040000}"/>
    <cellStyle name="Normal 12 2 2 2 5" xfId="2377" xr:uid="{00000000-0005-0000-0000-000027040000}"/>
    <cellStyle name="Normal 12 2 2 2 5 2" xfId="6623" xr:uid="{00000000-0005-0000-0000-000028040000}"/>
    <cellStyle name="Normal 12 2 2 2 6" xfId="4501" xr:uid="{00000000-0005-0000-0000-000029040000}"/>
    <cellStyle name="Normal 12 2 2 3" xfId="386" xr:uid="{00000000-0005-0000-0000-00002A040000}"/>
    <cellStyle name="Normal 12 2 2 3 2" xfId="916" xr:uid="{00000000-0005-0000-0000-00002B040000}"/>
    <cellStyle name="Normal 12 2 2 3 2 2" xfId="1975" xr:uid="{00000000-0005-0000-0000-00002C040000}"/>
    <cellStyle name="Normal 12 2 2 3 2 2 2" xfId="4097" xr:uid="{00000000-0005-0000-0000-00002D040000}"/>
    <cellStyle name="Normal 12 2 2 3 2 2 2 2" xfId="8343" xr:uid="{00000000-0005-0000-0000-00002E040000}"/>
    <cellStyle name="Normal 12 2 2 3 2 2 3" xfId="6221" xr:uid="{00000000-0005-0000-0000-00002F040000}"/>
    <cellStyle name="Normal 12 2 2 3 2 3" xfId="3038" xr:uid="{00000000-0005-0000-0000-000030040000}"/>
    <cellStyle name="Normal 12 2 2 3 2 3 2" xfId="7284" xr:uid="{00000000-0005-0000-0000-000031040000}"/>
    <cellStyle name="Normal 12 2 2 3 2 4" xfId="5162" xr:uid="{00000000-0005-0000-0000-000032040000}"/>
    <cellStyle name="Normal 12 2 2 3 3" xfId="1446" xr:uid="{00000000-0005-0000-0000-000033040000}"/>
    <cellStyle name="Normal 12 2 2 3 3 2" xfId="3568" xr:uid="{00000000-0005-0000-0000-000034040000}"/>
    <cellStyle name="Normal 12 2 2 3 3 2 2" xfId="7814" xr:uid="{00000000-0005-0000-0000-000035040000}"/>
    <cellStyle name="Normal 12 2 2 3 3 3" xfId="5692" xr:uid="{00000000-0005-0000-0000-000036040000}"/>
    <cellStyle name="Normal 12 2 2 3 4" xfId="2509" xr:uid="{00000000-0005-0000-0000-000037040000}"/>
    <cellStyle name="Normal 12 2 2 3 4 2" xfId="6755" xr:uid="{00000000-0005-0000-0000-000038040000}"/>
    <cellStyle name="Normal 12 2 2 3 5" xfId="4633" xr:uid="{00000000-0005-0000-0000-000039040000}"/>
    <cellStyle name="Normal 12 2 2 4" xfId="653" xr:uid="{00000000-0005-0000-0000-00003A040000}"/>
    <cellStyle name="Normal 12 2 2 4 2" xfId="1712" xr:uid="{00000000-0005-0000-0000-00003B040000}"/>
    <cellStyle name="Normal 12 2 2 4 2 2" xfId="3834" xr:uid="{00000000-0005-0000-0000-00003C040000}"/>
    <cellStyle name="Normal 12 2 2 4 2 2 2" xfId="8080" xr:uid="{00000000-0005-0000-0000-00003D040000}"/>
    <cellStyle name="Normal 12 2 2 4 2 3" xfId="5958" xr:uid="{00000000-0005-0000-0000-00003E040000}"/>
    <cellStyle name="Normal 12 2 2 4 3" xfId="2775" xr:uid="{00000000-0005-0000-0000-00003F040000}"/>
    <cellStyle name="Normal 12 2 2 4 3 2" xfId="7021" xr:uid="{00000000-0005-0000-0000-000040040000}"/>
    <cellStyle name="Normal 12 2 2 4 4" xfId="4899" xr:uid="{00000000-0005-0000-0000-000041040000}"/>
    <cellStyle name="Normal 12 2 2 5" xfId="1183" xr:uid="{00000000-0005-0000-0000-000042040000}"/>
    <cellStyle name="Normal 12 2 2 5 2" xfId="3305" xr:uid="{00000000-0005-0000-0000-000043040000}"/>
    <cellStyle name="Normal 12 2 2 5 2 2" xfId="7551" xr:uid="{00000000-0005-0000-0000-000044040000}"/>
    <cellStyle name="Normal 12 2 2 5 3" xfId="5429" xr:uid="{00000000-0005-0000-0000-000045040000}"/>
    <cellStyle name="Normal 12 2 2 6" xfId="2246" xr:uid="{00000000-0005-0000-0000-000046040000}"/>
    <cellStyle name="Normal 12 2 2 6 2" xfId="6492" xr:uid="{00000000-0005-0000-0000-000047040000}"/>
    <cellStyle name="Normal 12 2 2 7" xfId="4370" xr:uid="{00000000-0005-0000-0000-000048040000}"/>
    <cellStyle name="Normal 12 2 3" xfId="80" xr:uid="{00000000-0005-0000-0000-000049040000}"/>
    <cellStyle name="Normal 12 2 3 2" xfId="212" xr:uid="{00000000-0005-0000-0000-00004A040000}"/>
    <cellStyle name="Normal 12 2 3 2 2" xfId="475" xr:uid="{00000000-0005-0000-0000-00004B040000}"/>
    <cellStyle name="Normal 12 2 3 2 2 2" xfId="1005" xr:uid="{00000000-0005-0000-0000-00004C040000}"/>
    <cellStyle name="Normal 12 2 3 2 2 2 2" xfId="2064" xr:uid="{00000000-0005-0000-0000-00004D040000}"/>
    <cellStyle name="Normal 12 2 3 2 2 2 2 2" xfId="4186" xr:uid="{00000000-0005-0000-0000-00004E040000}"/>
    <cellStyle name="Normal 12 2 3 2 2 2 2 2 2" xfId="8432" xr:uid="{00000000-0005-0000-0000-00004F040000}"/>
    <cellStyle name="Normal 12 2 3 2 2 2 2 3" xfId="6310" xr:uid="{00000000-0005-0000-0000-000050040000}"/>
    <cellStyle name="Normal 12 2 3 2 2 2 3" xfId="3127" xr:uid="{00000000-0005-0000-0000-000051040000}"/>
    <cellStyle name="Normal 12 2 3 2 2 2 3 2" xfId="7373" xr:uid="{00000000-0005-0000-0000-000052040000}"/>
    <cellStyle name="Normal 12 2 3 2 2 2 4" xfId="5251" xr:uid="{00000000-0005-0000-0000-000053040000}"/>
    <cellStyle name="Normal 12 2 3 2 2 3" xfId="1535" xr:uid="{00000000-0005-0000-0000-000054040000}"/>
    <cellStyle name="Normal 12 2 3 2 2 3 2" xfId="3657" xr:uid="{00000000-0005-0000-0000-000055040000}"/>
    <cellStyle name="Normal 12 2 3 2 2 3 2 2" xfId="7903" xr:uid="{00000000-0005-0000-0000-000056040000}"/>
    <cellStyle name="Normal 12 2 3 2 2 3 3" xfId="5781" xr:uid="{00000000-0005-0000-0000-000057040000}"/>
    <cellStyle name="Normal 12 2 3 2 2 4" xfId="2598" xr:uid="{00000000-0005-0000-0000-000058040000}"/>
    <cellStyle name="Normal 12 2 3 2 2 4 2" xfId="6844" xr:uid="{00000000-0005-0000-0000-000059040000}"/>
    <cellStyle name="Normal 12 2 3 2 2 5" xfId="4722" xr:uid="{00000000-0005-0000-0000-00005A040000}"/>
    <cellStyle name="Normal 12 2 3 2 3" xfId="742" xr:uid="{00000000-0005-0000-0000-00005B040000}"/>
    <cellStyle name="Normal 12 2 3 2 3 2" xfId="1801" xr:uid="{00000000-0005-0000-0000-00005C040000}"/>
    <cellStyle name="Normal 12 2 3 2 3 2 2" xfId="3923" xr:uid="{00000000-0005-0000-0000-00005D040000}"/>
    <cellStyle name="Normal 12 2 3 2 3 2 2 2" xfId="8169" xr:uid="{00000000-0005-0000-0000-00005E040000}"/>
    <cellStyle name="Normal 12 2 3 2 3 2 3" xfId="6047" xr:uid="{00000000-0005-0000-0000-00005F040000}"/>
    <cellStyle name="Normal 12 2 3 2 3 3" xfId="2864" xr:uid="{00000000-0005-0000-0000-000060040000}"/>
    <cellStyle name="Normal 12 2 3 2 3 3 2" xfId="7110" xr:uid="{00000000-0005-0000-0000-000061040000}"/>
    <cellStyle name="Normal 12 2 3 2 3 4" xfId="4988" xr:uid="{00000000-0005-0000-0000-000062040000}"/>
    <cellStyle name="Normal 12 2 3 2 4" xfId="1272" xr:uid="{00000000-0005-0000-0000-000063040000}"/>
    <cellStyle name="Normal 12 2 3 2 4 2" xfId="3394" xr:uid="{00000000-0005-0000-0000-000064040000}"/>
    <cellStyle name="Normal 12 2 3 2 4 2 2" xfId="7640" xr:uid="{00000000-0005-0000-0000-000065040000}"/>
    <cellStyle name="Normal 12 2 3 2 4 3" xfId="5518" xr:uid="{00000000-0005-0000-0000-000066040000}"/>
    <cellStyle name="Normal 12 2 3 2 5" xfId="2335" xr:uid="{00000000-0005-0000-0000-000067040000}"/>
    <cellStyle name="Normal 12 2 3 2 5 2" xfId="6581" xr:uid="{00000000-0005-0000-0000-000068040000}"/>
    <cellStyle name="Normal 12 2 3 2 6" xfId="4459" xr:uid="{00000000-0005-0000-0000-000069040000}"/>
    <cellStyle name="Normal 12 2 3 3" xfId="344" xr:uid="{00000000-0005-0000-0000-00006A040000}"/>
    <cellStyle name="Normal 12 2 3 3 2" xfId="874" xr:uid="{00000000-0005-0000-0000-00006B040000}"/>
    <cellStyle name="Normal 12 2 3 3 2 2" xfId="1933" xr:uid="{00000000-0005-0000-0000-00006C040000}"/>
    <cellStyle name="Normal 12 2 3 3 2 2 2" xfId="4055" xr:uid="{00000000-0005-0000-0000-00006D040000}"/>
    <cellStyle name="Normal 12 2 3 3 2 2 2 2" xfId="8301" xr:uid="{00000000-0005-0000-0000-00006E040000}"/>
    <cellStyle name="Normal 12 2 3 3 2 2 3" xfId="6179" xr:uid="{00000000-0005-0000-0000-00006F040000}"/>
    <cellStyle name="Normal 12 2 3 3 2 3" xfId="2996" xr:uid="{00000000-0005-0000-0000-000070040000}"/>
    <cellStyle name="Normal 12 2 3 3 2 3 2" xfId="7242" xr:uid="{00000000-0005-0000-0000-000071040000}"/>
    <cellStyle name="Normal 12 2 3 3 2 4" xfId="5120" xr:uid="{00000000-0005-0000-0000-000072040000}"/>
    <cellStyle name="Normal 12 2 3 3 3" xfId="1404" xr:uid="{00000000-0005-0000-0000-000073040000}"/>
    <cellStyle name="Normal 12 2 3 3 3 2" xfId="3526" xr:uid="{00000000-0005-0000-0000-000074040000}"/>
    <cellStyle name="Normal 12 2 3 3 3 2 2" xfId="7772" xr:uid="{00000000-0005-0000-0000-000075040000}"/>
    <cellStyle name="Normal 12 2 3 3 3 3" xfId="5650" xr:uid="{00000000-0005-0000-0000-000076040000}"/>
    <cellStyle name="Normal 12 2 3 3 4" xfId="2467" xr:uid="{00000000-0005-0000-0000-000077040000}"/>
    <cellStyle name="Normal 12 2 3 3 4 2" xfId="6713" xr:uid="{00000000-0005-0000-0000-000078040000}"/>
    <cellStyle name="Normal 12 2 3 3 5" xfId="4591" xr:uid="{00000000-0005-0000-0000-000079040000}"/>
    <cellStyle name="Normal 12 2 3 4" xfId="611" xr:uid="{00000000-0005-0000-0000-00007A040000}"/>
    <cellStyle name="Normal 12 2 3 4 2" xfId="1670" xr:uid="{00000000-0005-0000-0000-00007B040000}"/>
    <cellStyle name="Normal 12 2 3 4 2 2" xfId="3792" xr:uid="{00000000-0005-0000-0000-00007C040000}"/>
    <cellStyle name="Normal 12 2 3 4 2 2 2" xfId="8038" xr:uid="{00000000-0005-0000-0000-00007D040000}"/>
    <cellStyle name="Normal 12 2 3 4 2 3" xfId="5916" xr:uid="{00000000-0005-0000-0000-00007E040000}"/>
    <cellStyle name="Normal 12 2 3 4 3" xfId="2733" xr:uid="{00000000-0005-0000-0000-00007F040000}"/>
    <cellStyle name="Normal 12 2 3 4 3 2" xfId="6979" xr:uid="{00000000-0005-0000-0000-000080040000}"/>
    <cellStyle name="Normal 12 2 3 4 4" xfId="4857" xr:uid="{00000000-0005-0000-0000-000081040000}"/>
    <cellStyle name="Normal 12 2 3 5" xfId="1141" xr:uid="{00000000-0005-0000-0000-000082040000}"/>
    <cellStyle name="Normal 12 2 3 5 2" xfId="3263" xr:uid="{00000000-0005-0000-0000-000083040000}"/>
    <cellStyle name="Normal 12 2 3 5 2 2" xfId="7509" xr:uid="{00000000-0005-0000-0000-000084040000}"/>
    <cellStyle name="Normal 12 2 3 5 3" xfId="5387" xr:uid="{00000000-0005-0000-0000-000085040000}"/>
    <cellStyle name="Normal 12 2 3 6" xfId="2204" xr:uid="{00000000-0005-0000-0000-000086040000}"/>
    <cellStyle name="Normal 12 2 3 6 2" xfId="6450" xr:uid="{00000000-0005-0000-0000-000087040000}"/>
    <cellStyle name="Normal 12 2 3 7" xfId="4328" xr:uid="{00000000-0005-0000-0000-000088040000}"/>
    <cellStyle name="Normal 12 2 4" xfId="169" xr:uid="{00000000-0005-0000-0000-000089040000}"/>
    <cellStyle name="Normal 12 2 4 2" xfId="432" xr:uid="{00000000-0005-0000-0000-00008A040000}"/>
    <cellStyle name="Normal 12 2 4 2 2" xfId="962" xr:uid="{00000000-0005-0000-0000-00008B040000}"/>
    <cellStyle name="Normal 12 2 4 2 2 2" xfId="2021" xr:uid="{00000000-0005-0000-0000-00008C040000}"/>
    <cellStyle name="Normal 12 2 4 2 2 2 2" xfId="4143" xr:uid="{00000000-0005-0000-0000-00008D040000}"/>
    <cellStyle name="Normal 12 2 4 2 2 2 2 2" xfId="8389" xr:uid="{00000000-0005-0000-0000-00008E040000}"/>
    <cellStyle name="Normal 12 2 4 2 2 2 3" xfId="6267" xr:uid="{00000000-0005-0000-0000-00008F040000}"/>
    <cellStyle name="Normal 12 2 4 2 2 3" xfId="3084" xr:uid="{00000000-0005-0000-0000-000090040000}"/>
    <cellStyle name="Normal 12 2 4 2 2 3 2" xfId="7330" xr:uid="{00000000-0005-0000-0000-000091040000}"/>
    <cellStyle name="Normal 12 2 4 2 2 4" xfId="5208" xr:uid="{00000000-0005-0000-0000-000092040000}"/>
    <cellStyle name="Normal 12 2 4 2 3" xfId="1492" xr:uid="{00000000-0005-0000-0000-000093040000}"/>
    <cellStyle name="Normal 12 2 4 2 3 2" xfId="3614" xr:uid="{00000000-0005-0000-0000-000094040000}"/>
    <cellStyle name="Normal 12 2 4 2 3 2 2" xfId="7860" xr:uid="{00000000-0005-0000-0000-000095040000}"/>
    <cellStyle name="Normal 12 2 4 2 3 3" xfId="5738" xr:uid="{00000000-0005-0000-0000-000096040000}"/>
    <cellStyle name="Normal 12 2 4 2 4" xfId="2555" xr:uid="{00000000-0005-0000-0000-000097040000}"/>
    <cellStyle name="Normal 12 2 4 2 4 2" xfId="6801" xr:uid="{00000000-0005-0000-0000-000098040000}"/>
    <cellStyle name="Normal 12 2 4 2 5" xfId="4679" xr:uid="{00000000-0005-0000-0000-000099040000}"/>
    <cellStyle name="Normal 12 2 4 3" xfId="699" xr:uid="{00000000-0005-0000-0000-00009A040000}"/>
    <cellStyle name="Normal 12 2 4 3 2" xfId="1758" xr:uid="{00000000-0005-0000-0000-00009B040000}"/>
    <cellStyle name="Normal 12 2 4 3 2 2" xfId="3880" xr:uid="{00000000-0005-0000-0000-00009C040000}"/>
    <cellStyle name="Normal 12 2 4 3 2 2 2" xfId="8126" xr:uid="{00000000-0005-0000-0000-00009D040000}"/>
    <cellStyle name="Normal 12 2 4 3 2 3" xfId="6004" xr:uid="{00000000-0005-0000-0000-00009E040000}"/>
    <cellStyle name="Normal 12 2 4 3 3" xfId="2821" xr:uid="{00000000-0005-0000-0000-00009F040000}"/>
    <cellStyle name="Normal 12 2 4 3 3 2" xfId="7067" xr:uid="{00000000-0005-0000-0000-0000A0040000}"/>
    <cellStyle name="Normal 12 2 4 3 4" xfId="4945" xr:uid="{00000000-0005-0000-0000-0000A1040000}"/>
    <cellStyle name="Normal 12 2 4 4" xfId="1229" xr:uid="{00000000-0005-0000-0000-0000A2040000}"/>
    <cellStyle name="Normal 12 2 4 4 2" xfId="3351" xr:uid="{00000000-0005-0000-0000-0000A3040000}"/>
    <cellStyle name="Normal 12 2 4 4 2 2" xfId="7597" xr:uid="{00000000-0005-0000-0000-0000A4040000}"/>
    <cellStyle name="Normal 12 2 4 4 3" xfId="5475" xr:uid="{00000000-0005-0000-0000-0000A5040000}"/>
    <cellStyle name="Normal 12 2 4 5" xfId="2292" xr:uid="{00000000-0005-0000-0000-0000A6040000}"/>
    <cellStyle name="Normal 12 2 4 5 2" xfId="6538" xr:uid="{00000000-0005-0000-0000-0000A7040000}"/>
    <cellStyle name="Normal 12 2 4 6" xfId="4416" xr:uid="{00000000-0005-0000-0000-0000A8040000}"/>
    <cellStyle name="Normal 12 2 5" xfId="301" xr:uid="{00000000-0005-0000-0000-0000A9040000}"/>
    <cellStyle name="Normal 12 2 5 2" xfId="831" xr:uid="{00000000-0005-0000-0000-0000AA040000}"/>
    <cellStyle name="Normal 12 2 5 2 2" xfId="1890" xr:uid="{00000000-0005-0000-0000-0000AB040000}"/>
    <cellStyle name="Normal 12 2 5 2 2 2" xfId="4012" xr:uid="{00000000-0005-0000-0000-0000AC040000}"/>
    <cellStyle name="Normal 12 2 5 2 2 2 2" xfId="8258" xr:uid="{00000000-0005-0000-0000-0000AD040000}"/>
    <cellStyle name="Normal 12 2 5 2 2 3" xfId="6136" xr:uid="{00000000-0005-0000-0000-0000AE040000}"/>
    <cellStyle name="Normal 12 2 5 2 3" xfId="2953" xr:uid="{00000000-0005-0000-0000-0000AF040000}"/>
    <cellStyle name="Normal 12 2 5 2 3 2" xfId="7199" xr:uid="{00000000-0005-0000-0000-0000B0040000}"/>
    <cellStyle name="Normal 12 2 5 2 4" xfId="5077" xr:uid="{00000000-0005-0000-0000-0000B1040000}"/>
    <cellStyle name="Normal 12 2 5 3" xfId="1361" xr:uid="{00000000-0005-0000-0000-0000B2040000}"/>
    <cellStyle name="Normal 12 2 5 3 2" xfId="3483" xr:uid="{00000000-0005-0000-0000-0000B3040000}"/>
    <cellStyle name="Normal 12 2 5 3 2 2" xfId="7729" xr:uid="{00000000-0005-0000-0000-0000B4040000}"/>
    <cellStyle name="Normal 12 2 5 3 3" xfId="5607" xr:uid="{00000000-0005-0000-0000-0000B5040000}"/>
    <cellStyle name="Normal 12 2 5 4" xfId="2424" xr:uid="{00000000-0005-0000-0000-0000B6040000}"/>
    <cellStyle name="Normal 12 2 5 4 2" xfId="6670" xr:uid="{00000000-0005-0000-0000-0000B7040000}"/>
    <cellStyle name="Normal 12 2 5 5" xfId="4548" xr:uid="{00000000-0005-0000-0000-0000B8040000}"/>
    <cellStyle name="Normal 12 2 6" xfId="568" xr:uid="{00000000-0005-0000-0000-0000B9040000}"/>
    <cellStyle name="Normal 12 2 6 2" xfId="1627" xr:uid="{00000000-0005-0000-0000-0000BA040000}"/>
    <cellStyle name="Normal 12 2 6 2 2" xfId="3749" xr:uid="{00000000-0005-0000-0000-0000BB040000}"/>
    <cellStyle name="Normal 12 2 6 2 2 2" xfId="7995" xr:uid="{00000000-0005-0000-0000-0000BC040000}"/>
    <cellStyle name="Normal 12 2 6 2 3" xfId="5873" xr:uid="{00000000-0005-0000-0000-0000BD040000}"/>
    <cellStyle name="Normal 12 2 6 3" xfId="2690" xr:uid="{00000000-0005-0000-0000-0000BE040000}"/>
    <cellStyle name="Normal 12 2 6 3 2" xfId="6936" xr:uid="{00000000-0005-0000-0000-0000BF040000}"/>
    <cellStyle name="Normal 12 2 6 4" xfId="4814" xr:uid="{00000000-0005-0000-0000-0000C0040000}"/>
    <cellStyle name="Normal 12 2 7" xfId="1098" xr:uid="{00000000-0005-0000-0000-0000C1040000}"/>
    <cellStyle name="Normal 12 2 7 2" xfId="3220" xr:uid="{00000000-0005-0000-0000-0000C2040000}"/>
    <cellStyle name="Normal 12 2 7 2 2" xfId="7466" xr:uid="{00000000-0005-0000-0000-0000C3040000}"/>
    <cellStyle name="Normal 12 2 7 3" xfId="5344" xr:uid="{00000000-0005-0000-0000-0000C4040000}"/>
    <cellStyle name="Normal 12 2 8" xfId="2161" xr:uid="{00000000-0005-0000-0000-0000C5040000}"/>
    <cellStyle name="Normal 12 2 8 2" xfId="6407" xr:uid="{00000000-0005-0000-0000-0000C6040000}"/>
    <cellStyle name="Normal 12 2 9" xfId="4285" xr:uid="{00000000-0005-0000-0000-0000C7040000}"/>
    <cellStyle name="Normal 12 3" xfId="103" xr:uid="{00000000-0005-0000-0000-0000C8040000}"/>
    <cellStyle name="Normal 12 3 2" xfId="234" xr:uid="{00000000-0005-0000-0000-0000C9040000}"/>
    <cellStyle name="Normal 12 3 2 2" xfId="497" xr:uid="{00000000-0005-0000-0000-0000CA040000}"/>
    <cellStyle name="Normal 12 3 2 2 2" xfId="1027" xr:uid="{00000000-0005-0000-0000-0000CB040000}"/>
    <cellStyle name="Normal 12 3 2 2 2 2" xfId="2086" xr:uid="{00000000-0005-0000-0000-0000CC040000}"/>
    <cellStyle name="Normal 12 3 2 2 2 2 2" xfId="4208" xr:uid="{00000000-0005-0000-0000-0000CD040000}"/>
    <cellStyle name="Normal 12 3 2 2 2 2 2 2" xfId="8454" xr:uid="{00000000-0005-0000-0000-0000CE040000}"/>
    <cellStyle name="Normal 12 3 2 2 2 2 3" xfId="6332" xr:uid="{00000000-0005-0000-0000-0000CF040000}"/>
    <cellStyle name="Normal 12 3 2 2 2 3" xfId="3149" xr:uid="{00000000-0005-0000-0000-0000D0040000}"/>
    <cellStyle name="Normal 12 3 2 2 2 3 2" xfId="7395" xr:uid="{00000000-0005-0000-0000-0000D1040000}"/>
    <cellStyle name="Normal 12 3 2 2 2 4" xfId="5273" xr:uid="{00000000-0005-0000-0000-0000D2040000}"/>
    <cellStyle name="Normal 12 3 2 2 3" xfId="1557" xr:uid="{00000000-0005-0000-0000-0000D3040000}"/>
    <cellStyle name="Normal 12 3 2 2 3 2" xfId="3679" xr:uid="{00000000-0005-0000-0000-0000D4040000}"/>
    <cellStyle name="Normal 12 3 2 2 3 2 2" xfId="7925" xr:uid="{00000000-0005-0000-0000-0000D5040000}"/>
    <cellStyle name="Normal 12 3 2 2 3 3" xfId="5803" xr:uid="{00000000-0005-0000-0000-0000D6040000}"/>
    <cellStyle name="Normal 12 3 2 2 4" xfId="2620" xr:uid="{00000000-0005-0000-0000-0000D7040000}"/>
    <cellStyle name="Normal 12 3 2 2 4 2" xfId="6866" xr:uid="{00000000-0005-0000-0000-0000D8040000}"/>
    <cellStyle name="Normal 12 3 2 2 5" xfId="4744" xr:uid="{00000000-0005-0000-0000-0000D9040000}"/>
    <cellStyle name="Normal 12 3 2 3" xfId="764" xr:uid="{00000000-0005-0000-0000-0000DA040000}"/>
    <cellStyle name="Normal 12 3 2 3 2" xfId="1823" xr:uid="{00000000-0005-0000-0000-0000DB040000}"/>
    <cellStyle name="Normal 12 3 2 3 2 2" xfId="3945" xr:uid="{00000000-0005-0000-0000-0000DC040000}"/>
    <cellStyle name="Normal 12 3 2 3 2 2 2" xfId="8191" xr:uid="{00000000-0005-0000-0000-0000DD040000}"/>
    <cellStyle name="Normal 12 3 2 3 2 3" xfId="6069" xr:uid="{00000000-0005-0000-0000-0000DE040000}"/>
    <cellStyle name="Normal 12 3 2 3 3" xfId="2886" xr:uid="{00000000-0005-0000-0000-0000DF040000}"/>
    <cellStyle name="Normal 12 3 2 3 3 2" xfId="7132" xr:uid="{00000000-0005-0000-0000-0000E0040000}"/>
    <cellStyle name="Normal 12 3 2 3 4" xfId="5010" xr:uid="{00000000-0005-0000-0000-0000E1040000}"/>
    <cellStyle name="Normal 12 3 2 4" xfId="1294" xr:uid="{00000000-0005-0000-0000-0000E2040000}"/>
    <cellStyle name="Normal 12 3 2 4 2" xfId="3416" xr:uid="{00000000-0005-0000-0000-0000E3040000}"/>
    <cellStyle name="Normal 12 3 2 4 2 2" xfId="7662" xr:uid="{00000000-0005-0000-0000-0000E4040000}"/>
    <cellStyle name="Normal 12 3 2 4 3" xfId="5540" xr:uid="{00000000-0005-0000-0000-0000E5040000}"/>
    <cellStyle name="Normal 12 3 2 5" xfId="2357" xr:uid="{00000000-0005-0000-0000-0000E6040000}"/>
    <cellStyle name="Normal 12 3 2 5 2" xfId="6603" xr:uid="{00000000-0005-0000-0000-0000E7040000}"/>
    <cellStyle name="Normal 12 3 2 6" xfId="4481" xr:uid="{00000000-0005-0000-0000-0000E8040000}"/>
    <cellStyle name="Normal 12 3 3" xfId="366" xr:uid="{00000000-0005-0000-0000-0000E9040000}"/>
    <cellStyle name="Normal 12 3 3 2" xfId="896" xr:uid="{00000000-0005-0000-0000-0000EA040000}"/>
    <cellStyle name="Normal 12 3 3 2 2" xfId="1955" xr:uid="{00000000-0005-0000-0000-0000EB040000}"/>
    <cellStyle name="Normal 12 3 3 2 2 2" xfId="4077" xr:uid="{00000000-0005-0000-0000-0000EC040000}"/>
    <cellStyle name="Normal 12 3 3 2 2 2 2" xfId="8323" xr:uid="{00000000-0005-0000-0000-0000ED040000}"/>
    <cellStyle name="Normal 12 3 3 2 2 3" xfId="6201" xr:uid="{00000000-0005-0000-0000-0000EE040000}"/>
    <cellStyle name="Normal 12 3 3 2 3" xfId="3018" xr:uid="{00000000-0005-0000-0000-0000EF040000}"/>
    <cellStyle name="Normal 12 3 3 2 3 2" xfId="7264" xr:uid="{00000000-0005-0000-0000-0000F0040000}"/>
    <cellStyle name="Normal 12 3 3 2 4" xfId="5142" xr:uid="{00000000-0005-0000-0000-0000F1040000}"/>
    <cellStyle name="Normal 12 3 3 3" xfId="1426" xr:uid="{00000000-0005-0000-0000-0000F2040000}"/>
    <cellStyle name="Normal 12 3 3 3 2" xfId="3548" xr:uid="{00000000-0005-0000-0000-0000F3040000}"/>
    <cellStyle name="Normal 12 3 3 3 2 2" xfId="7794" xr:uid="{00000000-0005-0000-0000-0000F4040000}"/>
    <cellStyle name="Normal 12 3 3 3 3" xfId="5672" xr:uid="{00000000-0005-0000-0000-0000F5040000}"/>
    <cellStyle name="Normal 12 3 3 4" xfId="2489" xr:uid="{00000000-0005-0000-0000-0000F6040000}"/>
    <cellStyle name="Normal 12 3 3 4 2" xfId="6735" xr:uid="{00000000-0005-0000-0000-0000F7040000}"/>
    <cellStyle name="Normal 12 3 3 5" xfId="4613" xr:uid="{00000000-0005-0000-0000-0000F8040000}"/>
    <cellStyle name="Normal 12 3 4" xfId="633" xr:uid="{00000000-0005-0000-0000-0000F9040000}"/>
    <cellStyle name="Normal 12 3 4 2" xfId="1692" xr:uid="{00000000-0005-0000-0000-0000FA040000}"/>
    <cellStyle name="Normal 12 3 4 2 2" xfId="3814" xr:uid="{00000000-0005-0000-0000-0000FB040000}"/>
    <cellStyle name="Normal 12 3 4 2 2 2" xfId="8060" xr:uid="{00000000-0005-0000-0000-0000FC040000}"/>
    <cellStyle name="Normal 12 3 4 2 3" xfId="5938" xr:uid="{00000000-0005-0000-0000-0000FD040000}"/>
    <cellStyle name="Normal 12 3 4 3" xfId="2755" xr:uid="{00000000-0005-0000-0000-0000FE040000}"/>
    <cellStyle name="Normal 12 3 4 3 2" xfId="7001" xr:uid="{00000000-0005-0000-0000-0000FF040000}"/>
    <cellStyle name="Normal 12 3 4 4" xfId="4879" xr:uid="{00000000-0005-0000-0000-000000050000}"/>
    <cellStyle name="Normal 12 3 5" xfId="1163" xr:uid="{00000000-0005-0000-0000-000001050000}"/>
    <cellStyle name="Normal 12 3 5 2" xfId="3285" xr:uid="{00000000-0005-0000-0000-000002050000}"/>
    <cellStyle name="Normal 12 3 5 2 2" xfId="7531" xr:uid="{00000000-0005-0000-0000-000003050000}"/>
    <cellStyle name="Normal 12 3 5 3" xfId="5409" xr:uid="{00000000-0005-0000-0000-000004050000}"/>
    <cellStyle name="Normal 12 3 6" xfId="2226" xr:uid="{00000000-0005-0000-0000-000005050000}"/>
    <cellStyle name="Normal 12 3 6 2" xfId="6472" xr:uid="{00000000-0005-0000-0000-000006050000}"/>
    <cellStyle name="Normal 12 3 7" xfId="4350" xr:uid="{00000000-0005-0000-0000-000007050000}"/>
    <cellStyle name="Normal 12 4" xfId="60" xr:uid="{00000000-0005-0000-0000-000008050000}"/>
    <cellStyle name="Normal 12 4 2" xfId="192" xr:uid="{00000000-0005-0000-0000-000009050000}"/>
    <cellStyle name="Normal 12 4 2 2" xfId="455" xr:uid="{00000000-0005-0000-0000-00000A050000}"/>
    <cellStyle name="Normal 12 4 2 2 2" xfId="985" xr:uid="{00000000-0005-0000-0000-00000B050000}"/>
    <cellStyle name="Normal 12 4 2 2 2 2" xfId="2044" xr:uid="{00000000-0005-0000-0000-00000C050000}"/>
    <cellStyle name="Normal 12 4 2 2 2 2 2" xfId="4166" xr:uid="{00000000-0005-0000-0000-00000D050000}"/>
    <cellStyle name="Normal 12 4 2 2 2 2 2 2" xfId="8412" xr:uid="{00000000-0005-0000-0000-00000E050000}"/>
    <cellStyle name="Normal 12 4 2 2 2 2 3" xfId="6290" xr:uid="{00000000-0005-0000-0000-00000F050000}"/>
    <cellStyle name="Normal 12 4 2 2 2 3" xfId="3107" xr:uid="{00000000-0005-0000-0000-000010050000}"/>
    <cellStyle name="Normal 12 4 2 2 2 3 2" xfId="7353" xr:uid="{00000000-0005-0000-0000-000011050000}"/>
    <cellStyle name="Normal 12 4 2 2 2 4" xfId="5231" xr:uid="{00000000-0005-0000-0000-000012050000}"/>
    <cellStyle name="Normal 12 4 2 2 3" xfId="1515" xr:uid="{00000000-0005-0000-0000-000013050000}"/>
    <cellStyle name="Normal 12 4 2 2 3 2" xfId="3637" xr:uid="{00000000-0005-0000-0000-000014050000}"/>
    <cellStyle name="Normal 12 4 2 2 3 2 2" xfId="7883" xr:uid="{00000000-0005-0000-0000-000015050000}"/>
    <cellStyle name="Normal 12 4 2 2 3 3" xfId="5761" xr:uid="{00000000-0005-0000-0000-000016050000}"/>
    <cellStyle name="Normal 12 4 2 2 4" xfId="2578" xr:uid="{00000000-0005-0000-0000-000017050000}"/>
    <cellStyle name="Normal 12 4 2 2 4 2" xfId="6824" xr:uid="{00000000-0005-0000-0000-000018050000}"/>
    <cellStyle name="Normal 12 4 2 2 5" xfId="4702" xr:uid="{00000000-0005-0000-0000-000019050000}"/>
    <cellStyle name="Normal 12 4 2 3" xfId="722" xr:uid="{00000000-0005-0000-0000-00001A050000}"/>
    <cellStyle name="Normal 12 4 2 3 2" xfId="1781" xr:uid="{00000000-0005-0000-0000-00001B050000}"/>
    <cellStyle name="Normal 12 4 2 3 2 2" xfId="3903" xr:uid="{00000000-0005-0000-0000-00001C050000}"/>
    <cellStyle name="Normal 12 4 2 3 2 2 2" xfId="8149" xr:uid="{00000000-0005-0000-0000-00001D050000}"/>
    <cellStyle name="Normal 12 4 2 3 2 3" xfId="6027" xr:uid="{00000000-0005-0000-0000-00001E050000}"/>
    <cellStyle name="Normal 12 4 2 3 3" xfId="2844" xr:uid="{00000000-0005-0000-0000-00001F050000}"/>
    <cellStyle name="Normal 12 4 2 3 3 2" xfId="7090" xr:uid="{00000000-0005-0000-0000-000020050000}"/>
    <cellStyle name="Normal 12 4 2 3 4" xfId="4968" xr:uid="{00000000-0005-0000-0000-000021050000}"/>
    <cellStyle name="Normal 12 4 2 4" xfId="1252" xr:uid="{00000000-0005-0000-0000-000022050000}"/>
    <cellStyle name="Normal 12 4 2 4 2" xfId="3374" xr:uid="{00000000-0005-0000-0000-000023050000}"/>
    <cellStyle name="Normal 12 4 2 4 2 2" xfId="7620" xr:uid="{00000000-0005-0000-0000-000024050000}"/>
    <cellStyle name="Normal 12 4 2 4 3" xfId="5498" xr:uid="{00000000-0005-0000-0000-000025050000}"/>
    <cellStyle name="Normal 12 4 2 5" xfId="2315" xr:uid="{00000000-0005-0000-0000-000026050000}"/>
    <cellStyle name="Normal 12 4 2 5 2" xfId="6561" xr:uid="{00000000-0005-0000-0000-000027050000}"/>
    <cellStyle name="Normal 12 4 2 6" xfId="4439" xr:uid="{00000000-0005-0000-0000-000028050000}"/>
    <cellStyle name="Normal 12 4 3" xfId="324" xr:uid="{00000000-0005-0000-0000-000029050000}"/>
    <cellStyle name="Normal 12 4 3 2" xfId="854" xr:uid="{00000000-0005-0000-0000-00002A050000}"/>
    <cellStyle name="Normal 12 4 3 2 2" xfId="1913" xr:uid="{00000000-0005-0000-0000-00002B050000}"/>
    <cellStyle name="Normal 12 4 3 2 2 2" xfId="4035" xr:uid="{00000000-0005-0000-0000-00002C050000}"/>
    <cellStyle name="Normal 12 4 3 2 2 2 2" xfId="8281" xr:uid="{00000000-0005-0000-0000-00002D050000}"/>
    <cellStyle name="Normal 12 4 3 2 2 3" xfId="6159" xr:uid="{00000000-0005-0000-0000-00002E050000}"/>
    <cellStyle name="Normal 12 4 3 2 3" xfId="2976" xr:uid="{00000000-0005-0000-0000-00002F050000}"/>
    <cellStyle name="Normal 12 4 3 2 3 2" xfId="7222" xr:uid="{00000000-0005-0000-0000-000030050000}"/>
    <cellStyle name="Normal 12 4 3 2 4" xfId="5100" xr:uid="{00000000-0005-0000-0000-000031050000}"/>
    <cellStyle name="Normal 12 4 3 3" xfId="1384" xr:uid="{00000000-0005-0000-0000-000032050000}"/>
    <cellStyle name="Normal 12 4 3 3 2" xfId="3506" xr:uid="{00000000-0005-0000-0000-000033050000}"/>
    <cellStyle name="Normal 12 4 3 3 2 2" xfId="7752" xr:uid="{00000000-0005-0000-0000-000034050000}"/>
    <cellStyle name="Normal 12 4 3 3 3" xfId="5630" xr:uid="{00000000-0005-0000-0000-000035050000}"/>
    <cellStyle name="Normal 12 4 3 4" xfId="2447" xr:uid="{00000000-0005-0000-0000-000036050000}"/>
    <cellStyle name="Normal 12 4 3 4 2" xfId="6693" xr:uid="{00000000-0005-0000-0000-000037050000}"/>
    <cellStyle name="Normal 12 4 3 5" xfId="4571" xr:uid="{00000000-0005-0000-0000-000038050000}"/>
    <cellStyle name="Normal 12 4 4" xfId="591" xr:uid="{00000000-0005-0000-0000-000039050000}"/>
    <cellStyle name="Normal 12 4 4 2" xfId="1650" xr:uid="{00000000-0005-0000-0000-00003A050000}"/>
    <cellStyle name="Normal 12 4 4 2 2" xfId="3772" xr:uid="{00000000-0005-0000-0000-00003B050000}"/>
    <cellStyle name="Normal 12 4 4 2 2 2" xfId="8018" xr:uid="{00000000-0005-0000-0000-00003C050000}"/>
    <cellStyle name="Normal 12 4 4 2 3" xfId="5896" xr:uid="{00000000-0005-0000-0000-00003D050000}"/>
    <cellStyle name="Normal 12 4 4 3" xfId="2713" xr:uid="{00000000-0005-0000-0000-00003E050000}"/>
    <cellStyle name="Normal 12 4 4 3 2" xfId="6959" xr:uid="{00000000-0005-0000-0000-00003F050000}"/>
    <cellStyle name="Normal 12 4 4 4" xfId="4837" xr:uid="{00000000-0005-0000-0000-000040050000}"/>
    <cellStyle name="Normal 12 4 5" xfId="1121" xr:uid="{00000000-0005-0000-0000-000041050000}"/>
    <cellStyle name="Normal 12 4 5 2" xfId="3243" xr:uid="{00000000-0005-0000-0000-000042050000}"/>
    <cellStyle name="Normal 12 4 5 2 2" xfId="7489" xr:uid="{00000000-0005-0000-0000-000043050000}"/>
    <cellStyle name="Normal 12 4 5 3" xfId="5367" xr:uid="{00000000-0005-0000-0000-000044050000}"/>
    <cellStyle name="Normal 12 4 6" xfId="2184" xr:uid="{00000000-0005-0000-0000-000045050000}"/>
    <cellStyle name="Normal 12 4 6 2" xfId="6430" xr:uid="{00000000-0005-0000-0000-000046050000}"/>
    <cellStyle name="Normal 12 4 7" xfId="4308" xr:uid="{00000000-0005-0000-0000-000047050000}"/>
    <cellStyle name="Normal 12 5" xfId="148" xr:uid="{00000000-0005-0000-0000-000048050000}"/>
    <cellStyle name="Normal 12 5 2" xfId="411" xr:uid="{00000000-0005-0000-0000-000049050000}"/>
    <cellStyle name="Normal 12 5 2 2" xfId="941" xr:uid="{00000000-0005-0000-0000-00004A050000}"/>
    <cellStyle name="Normal 12 5 2 2 2" xfId="2000" xr:uid="{00000000-0005-0000-0000-00004B050000}"/>
    <cellStyle name="Normal 12 5 2 2 2 2" xfId="4122" xr:uid="{00000000-0005-0000-0000-00004C050000}"/>
    <cellStyle name="Normal 12 5 2 2 2 2 2" xfId="8368" xr:uid="{00000000-0005-0000-0000-00004D050000}"/>
    <cellStyle name="Normal 12 5 2 2 2 3" xfId="6246" xr:uid="{00000000-0005-0000-0000-00004E050000}"/>
    <cellStyle name="Normal 12 5 2 2 3" xfId="3063" xr:uid="{00000000-0005-0000-0000-00004F050000}"/>
    <cellStyle name="Normal 12 5 2 2 3 2" xfId="7309" xr:uid="{00000000-0005-0000-0000-000050050000}"/>
    <cellStyle name="Normal 12 5 2 2 4" xfId="5187" xr:uid="{00000000-0005-0000-0000-000051050000}"/>
    <cellStyle name="Normal 12 5 2 3" xfId="1471" xr:uid="{00000000-0005-0000-0000-000052050000}"/>
    <cellStyle name="Normal 12 5 2 3 2" xfId="3593" xr:uid="{00000000-0005-0000-0000-000053050000}"/>
    <cellStyle name="Normal 12 5 2 3 2 2" xfId="7839" xr:uid="{00000000-0005-0000-0000-000054050000}"/>
    <cellStyle name="Normal 12 5 2 3 3" xfId="5717" xr:uid="{00000000-0005-0000-0000-000055050000}"/>
    <cellStyle name="Normal 12 5 2 4" xfId="2534" xr:uid="{00000000-0005-0000-0000-000056050000}"/>
    <cellStyle name="Normal 12 5 2 4 2" xfId="6780" xr:uid="{00000000-0005-0000-0000-000057050000}"/>
    <cellStyle name="Normal 12 5 2 5" xfId="4658" xr:uid="{00000000-0005-0000-0000-000058050000}"/>
    <cellStyle name="Normal 12 5 3" xfId="678" xr:uid="{00000000-0005-0000-0000-000059050000}"/>
    <cellStyle name="Normal 12 5 3 2" xfId="1737" xr:uid="{00000000-0005-0000-0000-00005A050000}"/>
    <cellStyle name="Normal 12 5 3 2 2" xfId="3859" xr:uid="{00000000-0005-0000-0000-00005B050000}"/>
    <cellStyle name="Normal 12 5 3 2 2 2" xfId="8105" xr:uid="{00000000-0005-0000-0000-00005C050000}"/>
    <cellStyle name="Normal 12 5 3 2 3" xfId="5983" xr:uid="{00000000-0005-0000-0000-00005D050000}"/>
    <cellStyle name="Normal 12 5 3 3" xfId="2800" xr:uid="{00000000-0005-0000-0000-00005E050000}"/>
    <cellStyle name="Normal 12 5 3 3 2" xfId="7046" xr:uid="{00000000-0005-0000-0000-00005F050000}"/>
    <cellStyle name="Normal 12 5 3 4" xfId="4924" xr:uid="{00000000-0005-0000-0000-000060050000}"/>
    <cellStyle name="Normal 12 5 4" xfId="1208" xr:uid="{00000000-0005-0000-0000-000061050000}"/>
    <cellStyle name="Normal 12 5 4 2" xfId="3330" xr:uid="{00000000-0005-0000-0000-000062050000}"/>
    <cellStyle name="Normal 12 5 4 2 2" xfId="7576" xr:uid="{00000000-0005-0000-0000-000063050000}"/>
    <cellStyle name="Normal 12 5 4 3" xfId="5454" xr:uid="{00000000-0005-0000-0000-000064050000}"/>
    <cellStyle name="Normal 12 5 5" xfId="2271" xr:uid="{00000000-0005-0000-0000-000065050000}"/>
    <cellStyle name="Normal 12 5 5 2" xfId="6517" xr:uid="{00000000-0005-0000-0000-000066050000}"/>
    <cellStyle name="Normal 12 5 6" xfId="4395" xr:uid="{00000000-0005-0000-0000-000067050000}"/>
    <cellStyle name="Normal 12 6" xfId="280" xr:uid="{00000000-0005-0000-0000-000068050000}"/>
    <cellStyle name="Normal 12 6 2" xfId="810" xr:uid="{00000000-0005-0000-0000-000069050000}"/>
    <cellStyle name="Normal 12 6 2 2" xfId="1869" xr:uid="{00000000-0005-0000-0000-00006A050000}"/>
    <cellStyle name="Normal 12 6 2 2 2" xfId="3991" xr:uid="{00000000-0005-0000-0000-00006B050000}"/>
    <cellStyle name="Normal 12 6 2 2 2 2" xfId="8237" xr:uid="{00000000-0005-0000-0000-00006C050000}"/>
    <cellStyle name="Normal 12 6 2 2 3" xfId="6115" xr:uid="{00000000-0005-0000-0000-00006D050000}"/>
    <cellStyle name="Normal 12 6 2 3" xfId="2932" xr:uid="{00000000-0005-0000-0000-00006E050000}"/>
    <cellStyle name="Normal 12 6 2 3 2" xfId="7178" xr:uid="{00000000-0005-0000-0000-00006F050000}"/>
    <cellStyle name="Normal 12 6 2 4" xfId="5056" xr:uid="{00000000-0005-0000-0000-000070050000}"/>
    <cellStyle name="Normal 12 6 3" xfId="1340" xr:uid="{00000000-0005-0000-0000-000071050000}"/>
    <cellStyle name="Normal 12 6 3 2" xfId="3462" xr:uid="{00000000-0005-0000-0000-000072050000}"/>
    <cellStyle name="Normal 12 6 3 2 2" xfId="7708" xr:uid="{00000000-0005-0000-0000-000073050000}"/>
    <cellStyle name="Normal 12 6 3 3" xfId="5586" xr:uid="{00000000-0005-0000-0000-000074050000}"/>
    <cellStyle name="Normal 12 6 4" xfId="2403" xr:uid="{00000000-0005-0000-0000-000075050000}"/>
    <cellStyle name="Normal 12 6 4 2" xfId="6649" xr:uid="{00000000-0005-0000-0000-000076050000}"/>
    <cellStyle name="Normal 12 6 5" xfId="4527" xr:uid="{00000000-0005-0000-0000-000077050000}"/>
    <cellStyle name="Normal 12 7" xfId="547" xr:uid="{00000000-0005-0000-0000-000078050000}"/>
    <cellStyle name="Normal 12 7 2" xfId="1606" xr:uid="{00000000-0005-0000-0000-000079050000}"/>
    <cellStyle name="Normal 12 7 2 2" xfId="3728" xr:uid="{00000000-0005-0000-0000-00007A050000}"/>
    <cellStyle name="Normal 12 7 2 2 2" xfId="7974" xr:uid="{00000000-0005-0000-0000-00007B050000}"/>
    <cellStyle name="Normal 12 7 2 3" xfId="5852" xr:uid="{00000000-0005-0000-0000-00007C050000}"/>
    <cellStyle name="Normal 12 7 3" xfId="2669" xr:uid="{00000000-0005-0000-0000-00007D050000}"/>
    <cellStyle name="Normal 12 7 3 2" xfId="6915" xr:uid="{00000000-0005-0000-0000-00007E050000}"/>
    <cellStyle name="Normal 12 7 4" xfId="4793" xr:uid="{00000000-0005-0000-0000-00007F050000}"/>
    <cellStyle name="Normal 12 8" xfId="1077" xr:uid="{00000000-0005-0000-0000-000080050000}"/>
    <cellStyle name="Normal 12 8 2" xfId="3199" xr:uid="{00000000-0005-0000-0000-000081050000}"/>
    <cellStyle name="Normal 12 8 2 2" xfId="7445" xr:uid="{00000000-0005-0000-0000-000082050000}"/>
    <cellStyle name="Normal 12 8 3" xfId="5323" xr:uid="{00000000-0005-0000-0000-000083050000}"/>
    <cellStyle name="Normal 12 9" xfId="2140" xr:uid="{00000000-0005-0000-0000-000084050000}"/>
    <cellStyle name="Normal 12 9 2" xfId="6386" xr:uid="{00000000-0005-0000-0000-000085050000}"/>
    <cellStyle name="Normal 13" xfId="27" xr:uid="{00000000-0005-0000-0000-000086050000}"/>
    <cellStyle name="Normal 13 2" xfId="113" xr:uid="{00000000-0005-0000-0000-000087050000}"/>
    <cellStyle name="Normal 13 2 2" xfId="244" xr:uid="{00000000-0005-0000-0000-000088050000}"/>
    <cellStyle name="Normal 13 2 2 2" xfId="507" xr:uid="{00000000-0005-0000-0000-000089050000}"/>
    <cellStyle name="Normal 13 2 2 2 2" xfId="1037" xr:uid="{00000000-0005-0000-0000-00008A050000}"/>
    <cellStyle name="Normal 13 2 2 2 2 2" xfId="2096" xr:uid="{00000000-0005-0000-0000-00008B050000}"/>
    <cellStyle name="Normal 13 2 2 2 2 2 2" xfId="4218" xr:uid="{00000000-0005-0000-0000-00008C050000}"/>
    <cellStyle name="Normal 13 2 2 2 2 2 2 2" xfId="8464" xr:uid="{00000000-0005-0000-0000-00008D050000}"/>
    <cellStyle name="Normal 13 2 2 2 2 2 3" xfId="6342" xr:uid="{00000000-0005-0000-0000-00008E050000}"/>
    <cellStyle name="Normal 13 2 2 2 2 3" xfId="3159" xr:uid="{00000000-0005-0000-0000-00008F050000}"/>
    <cellStyle name="Normal 13 2 2 2 2 3 2" xfId="7405" xr:uid="{00000000-0005-0000-0000-000090050000}"/>
    <cellStyle name="Normal 13 2 2 2 2 4" xfId="5283" xr:uid="{00000000-0005-0000-0000-000091050000}"/>
    <cellStyle name="Normal 13 2 2 2 3" xfId="1567" xr:uid="{00000000-0005-0000-0000-000092050000}"/>
    <cellStyle name="Normal 13 2 2 2 3 2" xfId="3689" xr:uid="{00000000-0005-0000-0000-000093050000}"/>
    <cellStyle name="Normal 13 2 2 2 3 2 2" xfId="7935" xr:uid="{00000000-0005-0000-0000-000094050000}"/>
    <cellStyle name="Normal 13 2 2 2 3 3" xfId="5813" xr:uid="{00000000-0005-0000-0000-000095050000}"/>
    <cellStyle name="Normal 13 2 2 2 4" xfId="2630" xr:uid="{00000000-0005-0000-0000-000096050000}"/>
    <cellStyle name="Normal 13 2 2 2 4 2" xfId="6876" xr:uid="{00000000-0005-0000-0000-000097050000}"/>
    <cellStyle name="Normal 13 2 2 2 5" xfId="4754" xr:uid="{00000000-0005-0000-0000-000098050000}"/>
    <cellStyle name="Normal 13 2 2 3" xfId="774" xr:uid="{00000000-0005-0000-0000-000099050000}"/>
    <cellStyle name="Normal 13 2 2 3 2" xfId="1833" xr:uid="{00000000-0005-0000-0000-00009A050000}"/>
    <cellStyle name="Normal 13 2 2 3 2 2" xfId="3955" xr:uid="{00000000-0005-0000-0000-00009B050000}"/>
    <cellStyle name="Normal 13 2 2 3 2 2 2" xfId="8201" xr:uid="{00000000-0005-0000-0000-00009C050000}"/>
    <cellStyle name="Normal 13 2 2 3 2 3" xfId="6079" xr:uid="{00000000-0005-0000-0000-00009D050000}"/>
    <cellStyle name="Normal 13 2 2 3 3" xfId="2896" xr:uid="{00000000-0005-0000-0000-00009E050000}"/>
    <cellStyle name="Normal 13 2 2 3 3 2" xfId="7142" xr:uid="{00000000-0005-0000-0000-00009F050000}"/>
    <cellStyle name="Normal 13 2 2 3 4" xfId="5020" xr:uid="{00000000-0005-0000-0000-0000A0050000}"/>
    <cellStyle name="Normal 13 2 2 4" xfId="1304" xr:uid="{00000000-0005-0000-0000-0000A1050000}"/>
    <cellStyle name="Normal 13 2 2 4 2" xfId="3426" xr:uid="{00000000-0005-0000-0000-0000A2050000}"/>
    <cellStyle name="Normal 13 2 2 4 2 2" xfId="7672" xr:uid="{00000000-0005-0000-0000-0000A3050000}"/>
    <cellStyle name="Normal 13 2 2 4 3" xfId="5550" xr:uid="{00000000-0005-0000-0000-0000A4050000}"/>
    <cellStyle name="Normal 13 2 2 5" xfId="2367" xr:uid="{00000000-0005-0000-0000-0000A5050000}"/>
    <cellStyle name="Normal 13 2 2 5 2" xfId="6613" xr:uid="{00000000-0005-0000-0000-0000A6050000}"/>
    <cellStyle name="Normal 13 2 2 6" xfId="4491" xr:uid="{00000000-0005-0000-0000-0000A7050000}"/>
    <cellStyle name="Normal 13 2 3" xfId="376" xr:uid="{00000000-0005-0000-0000-0000A8050000}"/>
    <cellStyle name="Normal 13 2 3 2" xfId="906" xr:uid="{00000000-0005-0000-0000-0000A9050000}"/>
    <cellStyle name="Normal 13 2 3 2 2" xfId="1965" xr:uid="{00000000-0005-0000-0000-0000AA050000}"/>
    <cellStyle name="Normal 13 2 3 2 2 2" xfId="4087" xr:uid="{00000000-0005-0000-0000-0000AB050000}"/>
    <cellStyle name="Normal 13 2 3 2 2 2 2" xfId="8333" xr:uid="{00000000-0005-0000-0000-0000AC050000}"/>
    <cellStyle name="Normal 13 2 3 2 2 3" xfId="6211" xr:uid="{00000000-0005-0000-0000-0000AD050000}"/>
    <cellStyle name="Normal 13 2 3 2 3" xfId="3028" xr:uid="{00000000-0005-0000-0000-0000AE050000}"/>
    <cellStyle name="Normal 13 2 3 2 3 2" xfId="7274" xr:uid="{00000000-0005-0000-0000-0000AF050000}"/>
    <cellStyle name="Normal 13 2 3 2 4" xfId="5152" xr:uid="{00000000-0005-0000-0000-0000B0050000}"/>
    <cellStyle name="Normal 13 2 3 3" xfId="1436" xr:uid="{00000000-0005-0000-0000-0000B1050000}"/>
    <cellStyle name="Normal 13 2 3 3 2" xfId="3558" xr:uid="{00000000-0005-0000-0000-0000B2050000}"/>
    <cellStyle name="Normal 13 2 3 3 2 2" xfId="7804" xr:uid="{00000000-0005-0000-0000-0000B3050000}"/>
    <cellStyle name="Normal 13 2 3 3 3" xfId="5682" xr:uid="{00000000-0005-0000-0000-0000B4050000}"/>
    <cellStyle name="Normal 13 2 3 4" xfId="2499" xr:uid="{00000000-0005-0000-0000-0000B5050000}"/>
    <cellStyle name="Normal 13 2 3 4 2" xfId="6745" xr:uid="{00000000-0005-0000-0000-0000B6050000}"/>
    <cellStyle name="Normal 13 2 3 5" xfId="4623" xr:uid="{00000000-0005-0000-0000-0000B7050000}"/>
    <cellStyle name="Normal 13 2 4" xfId="643" xr:uid="{00000000-0005-0000-0000-0000B8050000}"/>
    <cellStyle name="Normal 13 2 4 2" xfId="1702" xr:uid="{00000000-0005-0000-0000-0000B9050000}"/>
    <cellStyle name="Normal 13 2 4 2 2" xfId="3824" xr:uid="{00000000-0005-0000-0000-0000BA050000}"/>
    <cellStyle name="Normal 13 2 4 2 2 2" xfId="8070" xr:uid="{00000000-0005-0000-0000-0000BB050000}"/>
    <cellStyle name="Normal 13 2 4 2 3" xfId="5948" xr:uid="{00000000-0005-0000-0000-0000BC050000}"/>
    <cellStyle name="Normal 13 2 4 3" xfId="2765" xr:uid="{00000000-0005-0000-0000-0000BD050000}"/>
    <cellStyle name="Normal 13 2 4 3 2" xfId="7011" xr:uid="{00000000-0005-0000-0000-0000BE050000}"/>
    <cellStyle name="Normal 13 2 4 4" xfId="4889" xr:uid="{00000000-0005-0000-0000-0000BF050000}"/>
    <cellStyle name="Normal 13 2 5" xfId="1173" xr:uid="{00000000-0005-0000-0000-0000C0050000}"/>
    <cellStyle name="Normal 13 2 5 2" xfId="3295" xr:uid="{00000000-0005-0000-0000-0000C1050000}"/>
    <cellStyle name="Normal 13 2 5 2 2" xfId="7541" xr:uid="{00000000-0005-0000-0000-0000C2050000}"/>
    <cellStyle name="Normal 13 2 5 3" xfId="5419" xr:uid="{00000000-0005-0000-0000-0000C3050000}"/>
    <cellStyle name="Normal 13 2 6" xfId="2236" xr:uid="{00000000-0005-0000-0000-0000C4050000}"/>
    <cellStyle name="Normal 13 2 6 2" xfId="6482" xr:uid="{00000000-0005-0000-0000-0000C5050000}"/>
    <cellStyle name="Normal 13 2 7" xfId="4360" xr:uid="{00000000-0005-0000-0000-0000C6050000}"/>
    <cellStyle name="Normal 13 3" xfId="70" xr:uid="{00000000-0005-0000-0000-0000C7050000}"/>
    <cellStyle name="Normal 13 3 2" xfId="202" xr:uid="{00000000-0005-0000-0000-0000C8050000}"/>
    <cellStyle name="Normal 13 3 2 2" xfId="465" xr:uid="{00000000-0005-0000-0000-0000C9050000}"/>
    <cellStyle name="Normal 13 3 2 2 2" xfId="995" xr:uid="{00000000-0005-0000-0000-0000CA050000}"/>
    <cellStyle name="Normal 13 3 2 2 2 2" xfId="2054" xr:uid="{00000000-0005-0000-0000-0000CB050000}"/>
    <cellStyle name="Normal 13 3 2 2 2 2 2" xfId="4176" xr:uid="{00000000-0005-0000-0000-0000CC050000}"/>
    <cellStyle name="Normal 13 3 2 2 2 2 2 2" xfId="8422" xr:uid="{00000000-0005-0000-0000-0000CD050000}"/>
    <cellStyle name="Normal 13 3 2 2 2 2 3" xfId="6300" xr:uid="{00000000-0005-0000-0000-0000CE050000}"/>
    <cellStyle name="Normal 13 3 2 2 2 3" xfId="3117" xr:uid="{00000000-0005-0000-0000-0000CF050000}"/>
    <cellStyle name="Normal 13 3 2 2 2 3 2" xfId="7363" xr:uid="{00000000-0005-0000-0000-0000D0050000}"/>
    <cellStyle name="Normal 13 3 2 2 2 4" xfId="5241" xr:uid="{00000000-0005-0000-0000-0000D1050000}"/>
    <cellStyle name="Normal 13 3 2 2 3" xfId="1525" xr:uid="{00000000-0005-0000-0000-0000D2050000}"/>
    <cellStyle name="Normal 13 3 2 2 3 2" xfId="3647" xr:uid="{00000000-0005-0000-0000-0000D3050000}"/>
    <cellStyle name="Normal 13 3 2 2 3 2 2" xfId="7893" xr:uid="{00000000-0005-0000-0000-0000D4050000}"/>
    <cellStyle name="Normal 13 3 2 2 3 3" xfId="5771" xr:uid="{00000000-0005-0000-0000-0000D5050000}"/>
    <cellStyle name="Normal 13 3 2 2 4" xfId="2588" xr:uid="{00000000-0005-0000-0000-0000D6050000}"/>
    <cellStyle name="Normal 13 3 2 2 4 2" xfId="6834" xr:uid="{00000000-0005-0000-0000-0000D7050000}"/>
    <cellStyle name="Normal 13 3 2 2 5" xfId="4712" xr:uid="{00000000-0005-0000-0000-0000D8050000}"/>
    <cellStyle name="Normal 13 3 2 3" xfId="732" xr:uid="{00000000-0005-0000-0000-0000D9050000}"/>
    <cellStyle name="Normal 13 3 2 3 2" xfId="1791" xr:uid="{00000000-0005-0000-0000-0000DA050000}"/>
    <cellStyle name="Normal 13 3 2 3 2 2" xfId="3913" xr:uid="{00000000-0005-0000-0000-0000DB050000}"/>
    <cellStyle name="Normal 13 3 2 3 2 2 2" xfId="8159" xr:uid="{00000000-0005-0000-0000-0000DC050000}"/>
    <cellStyle name="Normal 13 3 2 3 2 3" xfId="6037" xr:uid="{00000000-0005-0000-0000-0000DD050000}"/>
    <cellStyle name="Normal 13 3 2 3 3" xfId="2854" xr:uid="{00000000-0005-0000-0000-0000DE050000}"/>
    <cellStyle name="Normal 13 3 2 3 3 2" xfId="7100" xr:uid="{00000000-0005-0000-0000-0000DF050000}"/>
    <cellStyle name="Normal 13 3 2 3 4" xfId="4978" xr:uid="{00000000-0005-0000-0000-0000E0050000}"/>
    <cellStyle name="Normal 13 3 2 4" xfId="1262" xr:uid="{00000000-0005-0000-0000-0000E1050000}"/>
    <cellStyle name="Normal 13 3 2 4 2" xfId="3384" xr:uid="{00000000-0005-0000-0000-0000E2050000}"/>
    <cellStyle name="Normal 13 3 2 4 2 2" xfId="7630" xr:uid="{00000000-0005-0000-0000-0000E3050000}"/>
    <cellStyle name="Normal 13 3 2 4 3" xfId="5508" xr:uid="{00000000-0005-0000-0000-0000E4050000}"/>
    <cellStyle name="Normal 13 3 2 5" xfId="2325" xr:uid="{00000000-0005-0000-0000-0000E5050000}"/>
    <cellStyle name="Normal 13 3 2 5 2" xfId="6571" xr:uid="{00000000-0005-0000-0000-0000E6050000}"/>
    <cellStyle name="Normal 13 3 2 6" xfId="4449" xr:uid="{00000000-0005-0000-0000-0000E7050000}"/>
    <cellStyle name="Normal 13 3 3" xfId="334" xr:uid="{00000000-0005-0000-0000-0000E8050000}"/>
    <cellStyle name="Normal 13 3 3 2" xfId="864" xr:uid="{00000000-0005-0000-0000-0000E9050000}"/>
    <cellStyle name="Normal 13 3 3 2 2" xfId="1923" xr:uid="{00000000-0005-0000-0000-0000EA050000}"/>
    <cellStyle name="Normal 13 3 3 2 2 2" xfId="4045" xr:uid="{00000000-0005-0000-0000-0000EB050000}"/>
    <cellStyle name="Normal 13 3 3 2 2 2 2" xfId="8291" xr:uid="{00000000-0005-0000-0000-0000EC050000}"/>
    <cellStyle name="Normal 13 3 3 2 2 3" xfId="6169" xr:uid="{00000000-0005-0000-0000-0000ED050000}"/>
    <cellStyle name="Normal 13 3 3 2 3" xfId="2986" xr:uid="{00000000-0005-0000-0000-0000EE050000}"/>
    <cellStyle name="Normal 13 3 3 2 3 2" xfId="7232" xr:uid="{00000000-0005-0000-0000-0000EF050000}"/>
    <cellStyle name="Normal 13 3 3 2 4" xfId="5110" xr:uid="{00000000-0005-0000-0000-0000F0050000}"/>
    <cellStyle name="Normal 13 3 3 3" xfId="1394" xr:uid="{00000000-0005-0000-0000-0000F1050000}"/>
    <cellStyle name="Normal 13 3 3 3 2" xfId="3516" xr:uid="{00000000-0005-0000-0000-0000F2050000}"/>
    <cellStyle name="Normal 13 3 3 3 2 2" xfId="7762" xr:uid="{00000000-0005-0000-0000-0000F3050000}"/>
    <cellStyle name="Normal 13 3 3 3 3" xfId="5640" xr:uid="{00000000-0005-0000-0000-0000F4050000}"/>
    <cellStyle name="Normal 13 3 3 4" xfId="2457" xr:uid="{00000000-0005-0000-0000-0000F5050000}"/>
    <cellStyle name="Normal 13 3 3 4 2" xfId="6703" xr:uid="{00000000-0005-0000-0000-0000F6050000}"/>
    <cellStyle name="Normal 13 3 3 5" xfId="4581" xr:uid="{00000000-0005-0000-0000-0000F7050000}"/>
    <cellStyle name="Normal 13 3 4" xfId="601" xr:uid="{00000000-0005-0000-0000-0000F8050000}"/>
    <cellStyle name="Normal 13 3 4 2" xfId="1660" xr:uid="{00000000-0005-0000-0000-0000F9050000}"/>
    <cellStyle name="Normal 13 3 4 2 2" xfId="3782" xr:uid="{00000000-0005-0000-0000-0000FA050000}"/>
    <cellStyle name="Normal 13 3 4 2 2 2" xfId="8028" xr:uid="{00000000-0005-0000-0000-0000FB050000}"/>
    <cellStyle name="Normal 13 3 4 2 3" xfId="5906" xr:uid="{00000000-0005-0000-0000-0000FC050000}"/>
    <cellStyle name="Normal 13 3 4 3" xfId="2723" xr:uid="{00000000-0005-0000-0000-0000FD050000}"/>
    <cellStyle name="Normal 13 3 4 3 2" xfId="6969" xr:uid="{00000000-0005-0000-0000-0000FE050000}"/>
    <cellStyle name="Normal 13 3 4 4" xfId="4847" xr:uid="{00000000-0005-0000-0000-0000FF050000}"/>
    <cellStyle name="Normal 13 3 5" xfId="1131" xr:uid="{00000000-0005-0000-0000-000000060000}"/>
    <cellStyle name="Normal 13 3 5 2" xfId="3253" xr:uid="{00000000-0005-0000-0000-000001060000}"/>
    <cellStyle name="Normal 13 3 5 2 2" xfId="7499" xr:uid="{00000000-0005-0000-0000-000002060000}"/>
    <cellStyle name="Normal 13 3 5 3" xfId="5377" xr:uid="{00000000-0005-0000-0000-000003060000}"/>
    <cellStyle name="Normal 13 3 6" xfId="2194" xr:uid="{00000000-0005-0000-0000-000004060000}"/>
    <cellStyle name="Normal 13 3 6 2" xfId="6440" xr:uid="{00000000-0005-0000-0000-000005060000}"/>
    <cellStyle name="Normal 13 3 7" xfId="4318" xr:uid="{00000000-0005-0000-0000-000006060000}"/>
    <cellStyle name="Normal 13 4" xfId="159" xr:uid="{00000000-0005-0000-0000-000007060000}"/>
    <cellStyle name="Normal 13 4 2" xfId="422" xr:uid="{00000000-0005-0000-0000-000008060000}"/>
    <cellStyle name="Normal 13 4 2 2" xfId="952" xr:uid="{00000000-0005-0000-0000-000009060000}"/>
    <cellStyle name="Normal 13 4 2 2 2" xfId="2011" xr:uid="{00000000-0005-0000-0000-00000A060000}"/>
    <cellStyle name="Normal 13 4 2 2 2 2" xfId="4133" xr:uid="{00000000-0005-0000-0000-00000B060000}"/>
    <cellStyle name="Normal 13 4 2 2 2 2 2" xfId="8379" xr:uid="{00000000-0005-0000-0000-00000C060000}"/>
    <cellStyle name="Normal 13 4 2 2 2 3" xfId="6257" xr:uid="{00000000-0005-0000-0000-00000D060000}"/>
    <cellStyle name="Normal 13 4 2 2 3" xfId="3074" xr:uid="{00000000-0005-0000-0000-00000E060000}"/>
    <cellStyle name="Normal 13 4 2 2 3 2" xfId="7320" xr:uid="{00000000-0005-0000-0000-00000F060000}"/>
    <cellStyle name="Normal 13 4 2 2 4" xfId="5198" xr:uid="{00000000-0005-0000-0000-000010060000}"/>
    <cellStyle name="Normal 13 4 2 3" xfId="1482" xr:uid="{00000000-0005-0000-0000-000011060000}"/>
    <cellStyle name="Normal 13 4 2 3 2" xfId="3604" xr:uid="{00000000-0005-0000-0000-000012060000}"/>
    <cellStyle name="Normal 13 4 2 3 2 2" xfId="7850" xr:uid="{00000000-0005-0000-0000-000013060000}"/>
    <cellStyle name="Normal 13 4 2 3 3" xfId="5728" xr:uid="{00000000-0005-0000-0000-000014060000}"/>
    <cellStyle name="Normal 13 4 2 4" xfId="2545" xr:uid="{00000000-0005-0000-0000-000015060000}"/>
    <cellStyle name="Normal 13 4 2 4 2" xfId="6791" xr:uid="{00000000-0005-0000-0000-000016060000}"/>
    <cellStyle name="Normal 13 4 2 5" xfId="4669" xr:uid="{00000000-0005-0000-0000-000017060000}"/>
    <cellStyle name="Normal 13 4 3" xfId="689" xr:uid="{00000000-0005-0000-0000-000018060000}"/>
    <cellStyle name="Normal 13 4 3 2" xfId="1748" xr:uid="{00000000-0005-0000-0000-000019060000}"/>
    <cellStyle name="Normal 13 4 3 2 2" xfId="3870" xr:uid="{00000000-0005-0000-0000-00001A060000}"/>
    <cellStyle name="Normal 13 4 3 2 2 2" xfId="8116" xr:uid="{00000000-0005-0000-0000-00001B060000}"/>
    <cellStyle name="Normal 13 4 3 2 3" xfId="5994" xr:uid="{00000000-0005-0000-0000-00001C060000}"/>
    <cellStyle name="Normal 13 4 3 3" xfId="2811" xr:uid="{00000000-0005-0000-0000-00001D060000}"/>
    <cellStyle name="Normal 13 4 3 3 2" xfId="7057" xr:uid="{00000000-0005-0000-0000-00001E060000}"/>
    <cellStyle name="Normal 13 4 3 4" xfId="4935" xr:uid="{00000000-0005-0000-0000-00001F060000}"/>
    <cellStyle name="Normal 13 4 4" xfId="1219" xr:uid="{00000000-0005-0000-0000-000020060000}"/>
    <cellStyle name="Normal 13 4 4 2" xfId="3341" xr:uid="{00000000-0005-0000-0000-000021060000}"/>
    <cellStyle name="Normal 13 4 4 2 2" xfId="7587" xr:uid="{00000000-0005-0000-0000-000022060000}"/>
    <cellStyle name="Normal 13 4 4 3" xfId="5465" xr:uid="{00000000-0005-0000-0000-000023060000}"/>
    <cellStyle name="Normal 13 4 5" xfId="2282" xr:uid="{00000000-0005-0000-0000-000024060000}"/>
    <cellStyle name="Normal 13 4 5 2" xfId="6528" xr:uid="{00000000-0005-0000-0000-000025060000}"/>
    <cellStyle name="Normal 13 4 6" xfId="4406" xr:uid="{00000000-0005-0000-0000-000026060000}"/>
    <cellStyle name="Normal 13 5" xfId="291" xr:uid="{00000000-0005-0000-0000-000027060000}"/>
    <cellStyle name="Normal 13 5 2" xfId="821" xr:uid="{00000000-0005-0000-0000-000028060000}"/>
    <cellStyle name="Normal 13 5 2 2" xfId="1880" xr:uid="{00000000-0005-0000-0000-000029060000}"/>
    <cellStyle name="Normal 13 5 2 2 2" xfId="4002" xr:uid="{00000000-0005-0000-0000-00002A060000}"/>
    <cellStyle name="Normal 13 5 2 2 2 2" xfId="8248" xr:uid="{00000000-0005-0000-0000-00002B060000}"/>
    <cellStyle name="Normal 13 5 2 2 3" xfId="6126" xr:uid="{00000000-0005-0000-0000-00002C060000}"/>
    <cellStyle name="Normal 13 5 2 3" xfId="2943" xr:uid="{00000000-0005-0000-0000-00002D060000}"/>
    <cellStyle name="Normal 13 5 2 3 2" xfId="7189" xr:uid="{00000000-0005-0000-0000-00002E060000}"/>
    <cellStyle name="Normal 13 5 2 4" xfId="5067" xr:uid="{00000000-0005-0000-0000-00002F060000}"/>
    <cellStyle name="Normal 13 5 3" xfId="1351" xr:uid="{00000000-0005-0000-0000-000030060000}"/>
    <cellStyle name="Normal 13 5 3 2" xfId="3473" xr:uid="{00000000-0005-0000-0000-000031060000}"/>
    <cellStyle name="Normal 13 5 3 2 2" xfId="7719" xr:uid="{00000000-0005-0000-0000-000032060000}"/>
    <cellStyle name="Normal 13 5 3 3" xfId="5597" xr:uid="{00000000-0005-0000-0000-000033060000}"/>
    <cellStyle name="Normal 13 5 4" xfId="2414" xr:uid="{00000000-0005-0000-0000-000034060000}"/>
    <cellStyle name="Normal 13 5 4 2" xfId="6660" xr:uid="{00000000-0005-0000-0000-000035060000}"/>
    <cellStyle name="Normal 13 5 5" xfId="4538" xr:uid="{00000000-0005-0000-0000-000036060000}"/>
    <cellStyle name="Normal 13 6" xfId="558" xr:uid="{00000000-0005-0000-0000-000037060000}"/>
    <cellStyle name="Normal 13 6 2" xfId="1617" xr:uid="{00000000-0005-0000-0000-000038060000}"/>
    <cellStyle name="Normal 13 6 2 2" xfId="3739" xr:uid="{00000000-0005-0000-0000-000039060000}"/>
    <cellStyle name="Normal 13 6 2 2 2" xfId="7985" xr:uid="{00000000-0005-0000-0000-00003A060000}"/>
    <cellStyle name="Normal 13 6 2 3" xfId="5863" xr:uid="{00000000-0005-0000-0000-00003B060000}"/>
    <cellStyle name="Normal 13 6 3" xfId="2680" xr:uid="{00000000-0005-0000-0000-00003C060000}"/>
    <cellStyle name="Normal 13 6 3 2" xfId="6926" xr:uid="{00000000-0005-0000-0000-00003D060000}"/>
    <cellStyle name="Normal 13 6 4" xfId="4804" xr:uid="{00000000-0005-0000-0000-00003E060000}"/>
    <cellStyle name="Normal 13 7" xfId="1088" xr:uid="{00000000-0005-0000-0000-00003F060000}"/>
    <cellStyle name="Normal 13 7 2" xfId="3210" xr:uid="{00000000-0005-0000-0000-000040060000}"/>
    <cellStyle name="Normal 13 7 2 2" xfId="7456" xr:uid="{00000000-0005-0000-0000-000041060000}"/>
    <cellStyle name="Normal 13 7 3" xfId="5334" xr:uid="{00000000-0005-0000-0000-000042060000}"/>
    <cellStyle name="Normal 13 8" xfId="2151" xr:uid="{00000000-0005-0000-0000-000043060000}"/>
    <cellStyle name="Normal 13 8 2" xfId="6397" xr:uid="{00000000-0005-0000-0000-000044060000}"/>
    <cellStyle name="Normal 13 9" xfId="4275" xr:uid="{00000000-0005-0000-0000-000045060000}"/>
    <cellStyle name="Normal 14" xfId="48" xr:uid="{00000000-0005-0000-0000-000046060000}"/>
    <cellStyle name="Normal 14 2" xfId="134" xr:uid="{00000000-0005-0000-0000-000047060000}"/>
    <cellStyle name="Normal 14 2 2" xfId="265" xr:uid="{00000000-0005-0000-0000-000048060000}"/>
    <cellStyle name="Normal 14 2 2 2" xfId="528" xr:uid="{00000000-0005-0000-0000-000049060000}"/>
    <cellStyle name="Normal 14 2 2 2 2" xfId="1058" xr:uid="{00000000-0005-0000-0000-00004A060000}"/>
    <cellStyle name="Normal 14 2 2 2 2 2" xfId="2117" xr:uid="{00000000-0005-0000-0000-00004B060000}"/>
    <cellStyle name="Normal 14 2 2 2 2 2 2" xfId="4239" xr:uid="{00000000-0005-0000-0000-00004C060000}"/>
    <cellStyle name="Normal 14 2 2 2 2 2 2 2" xfId="8485" xr:uid="{00000000-0005-0000-0000-00004D060000}"/>
    <cellStyle name="Normal 14 2 2 2 2 2 3" xfId="6363" xr:uid="{00000000-0005-0000-0000-00004E060000}"/>
    <cellStyle name="Normal 14 2 2 2 2 3" xfId="3180" xr:uid="{00000000-0005-0000-0000-00004F060000}"/>
    <cellStyle name="Normal 14 2 2 2 2 3 2" xfId="7426" xr:uid="{00000000-0005-0000-0000-000050060000}"/>
    <cellStyle name="Normal 14 2 2 2 2 4" xfId="5304" xr:uid="{00000000-0005-0000-0000-000051060000}"/>
    <cellStyle name="Normal 14 2 2 2 3" xfId="1588" xr:uid="{00000000-0005-0000-0000-000052060000}"/>
    <cellStyle name="Normal 14 2 2 2 3 2" xfId="3710" xr:uid="{00000000-0005-0000-0000-000053060000}"/>
    <cellStyle name="Normal 14 2 2 2 3 2 2" xfId="7956" xr:uid="{00000000-0005-0000-0000-000054060000}"/>
    <cellStyle name="Normal 14 2 2 2 3 3" xfId="5834" xr:uid="{00000000-0005-0000-0000-000055060000}"/>
    <cellStyle name="Normal 14 2 2 2 4" xfId="2651" xr:uid="{00000000-0005-0000-0000-000056060000}"/>
    <cellStyle name="Normal 14 2 2 2 4 2" xfId="6897" xr:uid="{00000000-0005-0000-0000-000057060000}"/>
    <cellStyle name="Normal 14 2 2 2 5" xfId="4775" xr:uid="{00000000-0005-0000-0000-000058060000}"/>
    <cellStyle name="Normal 14 2 2 3" xfId="795" xr:uid="{00000000-0005-0000-0000-000059060000}"/>
    <cellStyle name="Normal 14 2 2 3 2" xfId="1854" xr:uid="{00000000-0005-0000-0000-00005A060000}"/>
    <cellStyle name="Normal 14 2 2 3 2 2" xfId="3976" xr:uid="{00000000-0005-0000-0000-00005B060000}"/>
    <cellStyle name="Normal 14 2 2 3 2 2 2" xfId="8222" xr:uid="{00000000-0005-0000-0000-00005C060000}"/>
    <cellStyle name="Normal 14 2 2 3 2 3" xfId="6100" xr:uid="{00000000-0005-0000-0000-00005D060000}"/>
    <cellStyle name="Normal 14 2 2 3 3" xfId="2917" xr:uid="{00000000-0005-0000-0000-00005E060000}"/>
    <cellStyle name="Normal 14 2 2 3 3 2" xfId="7163" xr:uid="{00000000-0005-0000-0000-00005F060000}"/>
    <cellStyle name="Normal 14 2 2 3 4" xfId="5041" xr:uid="{00000000-0005-0000-0000-000060060000}"/>
    <cellStyle name="Normal 14 2 2 4" xfId="1325" xr:uid="{00000000-0005-0000-0000-000061060000}"/>
    <cellStyle name="Normal 14 2 2 4 2" xfId="3447" xr:uid="{00000000-0005-0000-0000-000062060000}"/>
    <cellStyle name="Normal 14 2 2 4 2 2" xfId="7693" xr:uid="{00000000-0005-0000-0000-000063060000}"/>
    <cellStyle name="Normal 14 2 2 4 3" xfId="5571" xr:uid="{00000000-0005-0000-0000-000064060000}"/>
    <cellStyle name="Normal 14 2 2 5" xfId="2388" xr:uid="{00000000-0005-0000-0000-000065060000}"/>
    <cellStyle name="Normal 14 2 2 5 2" xfId="6634" xr:uid="{00000000-0005-0000-0000-000066060000}"/>
    <cellStyle name="Normal 14 2 2 6" xfId="4512" xr:uid="{00000000-0005-0000-0000-000067060000}"/>
    <cellStyle name="Normal 14 2 3" xfId="397" xr:uid="{00000000-0005-0000-0000-000068060000}"/>
    <cellStyle name="Normal 14 2 3 2" xfId="927" xr:uid="{00000000-0005-0000-0000-000069060000}"/>
    <cellStyle name="Normal 14 2 3 2 2" xfId="1986" xr:uid="{00000000-0005-0000-0000-00006A060000}"/>
    <cellStyle name="Normal 14 2 3 2 2 2" xfId="4108" xr:uid="{00000000-0005-0000-0000-00006B060000}"/>
    <cellStyle name="Normal 14 2 3 2 2 2 2" xfId="8354" xr:uid="{00000000-0005-0000-0000-00006C060000}"/>
    <cellStyle name="Normal 14 2 3 2 2 3" xfId="6232" xr:uid="{00000000-0005-0000-0000-00006D060000}"/>
    <cellStyle name="Normal 14 2 3 2 3" xfId="3049" xr:uid="{00000000-0005-0000-0000-00006E060000}"/>
    <cellStyle name="Normal 14 2 3 2 3 2" xfId="7295" xr:uid="{00000000-0005-0000-0000-00006F060000}"/>
    <cellStyle name="Normal 14 2 3 2 4" xfId="5173" xr:uid="{00000000-0005-0000-0000-000070060000}"/>
    <cellStyle name="Normal 14 2 3 3" xfId="1457" xr:uid="{00000000-0005-0000-0000-000071060000}"/>
    <cellStyle name="Normal 14 2 3 3 2" xfId="3579" xr:uid="{00000000-0005-0000-0000-000072060000}"/>
    <cellStyle name="Normal 14 2 3 3 2 2" xfId="7825" xr:uid="{00000000-0005-0000-0000-000073060000}"/>
    <cellStyle name="Normal 14 2 3 3 3" xfId="5703" xr:uid="{00000000-0005-0000-0000-000074060000}"/>
    <cellStyle name="Normal 14 2 3 4" xfId="2520" xr:uid="{00000000-0005-0000-0000-000075060000}"/>
    <cellStyle name="Normal 14 2 3 4 2" xfId="6766" xr:uid="{00000000-0005-0000-0000-000076060000}"/>
    <cellStyle name="Normal 14 2 3 5" xfId="4644" xr:uid="{00000000-0005-0000-0000-000077060000}"/>
    <cellStyle name="Normal 14 2 4" xfId="664" xr:uid="{00000000-0005-0000-0000-000078060000}"/>
    <cellStyle name="Normal 14 2 4 2" xfId="1723" xr:uid="{00000000-0005-0000-0000-000079060000}"/>
    <cellStyle name="Normal 14 2 4 2 2" xfId="3845" xr:uid="{00000000-0005-0000-0000-00007A060000}"/>
    <cellStyle name="Normal 14 2 4 2 2 2" xfId="8091" xr:uid="{00000000-0005-0000-0000-00007B060000}"/>
    <cellStyle name="Normal 14 2 4 2 3" xfId="5969" xr:uid="{00000000-0005-0000-0000-00007C060000}"/>
    <cellStyle name="Normal 14 2 4 3" xfId="2786" xr:uid="{00000000-0005-0000-0000-00007D060000}"/>
    <cellStyle name="Normal 14 2 4 3 2" xfId="7032" xr:uid="{00000000-0005-0000-0000-00007E060000}"/>
    <cellStyle name="Normal 14 2 4 4" xfId="4910" xr:uid="{00000000-0005-0000-0000-00007F060000}"/>
    <cellStyle name="Normal 14 2 5" xfId="1194" xr:uid="{00000000-0005-0000-0000-000080060000}"/>
    <cellStyle name="Normal 14 2 5 2" xfId="3316" xr:uid="{00000000-0005-0000-0000-000081060000}"/>
    <cellStyle name="Normal 14 2 5 2 2" xfId="7562" xr:uid="{00000000-0005-0000-0000-000082060000}"/>
    <cellStyle name="Normal 14 2 5 3" xfId="5440" xr:uid="{00000000-0005-0000-0000-000083060000}"/>
    <cellStyle name="Normal 14 2 6" xfId="2257" xr:uid="{00000000-0005-0000-0000-000084060000}"/>
    <cellStyle name="Normal 14 2 6 2" xfId="6503" xr:uid="{00000000-0005-0000-0000-000085060000}"/>
    <cellStyle name="Normal 14 2 7" xfId="4381" xr:uid="{00000000-0005-0000-0000-000086060000}"/>
    <cellStyle name="Normal 14 3" xfId="91" xr:uid="{00000000-0005-0000-0000-000087060000}"/>
    <cellStyle name="Normal 14 3 2" xfId="223" xr:uid="{00000000-0005-0000-0000-000088060000}"/>
    <cellStyle name="Normal 14 3 2 2" xfId="486" xr:uid="{00000000-0005-0000-0000-000089060000}"/>
    <cellStyle name="Normal 14 3 2 2 2" xfId="1016" xr:uid="{00000000-0005-0000-0000-00008A060000}"/>
    <cellStyle name="Normal 14 3 2 2 2 2" xfId="2075" xr:uid="{00000000-0005-0000-0000-00008B060000}"/>
    <cellStyle name="Normal 14 3 2 2 2 2 2" xfId="4197" xr:uid="{00000000-0005-0000-0000-00008C060000}"/>
    <cellStyle name="Normal 14 3 2 2 2 2 2 2" xfId="8443" xr:uid="{00000000-0005-0000-0000-00008D060000}"/>
    <cellStyle name="Normal 14 3 2 2 2 2 3" xfId="6321" xr:uid="{00000000-0005-0000-0000-00008E060000}"/>
    <cellStyle name="Normal 14 3 2 2 2 3" xfId="3138" xr:uid="{00000000-0005-0000-0000-00008F060000}"/>
    <cellStyle name="Normal 14 3 2 2 2 3 2" xfId="7384" xr:uid="{00000000-0005-0000-0000-000090060000}"/>
    <cellStyle name="Normal 14 3 2 2 2 4" xfId="5262" xr:uid="{00000000-0005-0000-0000-000091060000}"/>
    <cellStyle name="Normal 14 3 2 2 3" xfId="1546" xr:uid="{00000000-0005-0000-0000-000092060000}"/>
    <cellStyle name="Normal 14 3 2 2 3 2" xfId="3668" xr:uid="{00000000-0005-0000-0000-000093060000}"/>
    <cellStyle name="Normal 14 3 2 2 3 2 2" xfId="7914" xr:uid="{00000000-0005-0000-0000-000094060000}"/>
    <cellStyle name="Normal 14 3 2 2 3 3" xfId="5792" xr:uid="{00000000-0005-0000-0000-000095060000}"/>
    <cellStyle name="Normal 14 3 2 2 4" xfId="2609" xr:uid="{00000000-0005-0000-0000-000096060000}"/>
    <cellStyle name="Normal 14 3 2 2 4 2" xfId="6855" xr:uid="{00000000-0005-0000-0000-000097060000}"/>
    <cellStyle name="Normal 14 3 2 2 5" xfId="4733" xr:uid="{00000000-0005-0000-0000-000098060000}"/>
    <cellStyle name="Normal 14 3 2 3" xfId="753" xr:uid="{00000000-0005-0000-0000-000099060000}"/>
    <cellStyle name="Normal 14 3 2 3 2" xfId="1812" xr:uid="{00000000-0005-0000-0000-00009A060000}"/>
    <cellStyle name="Normal 14 3 2 3 2 2" xfId="3934" xr:uid="{00000000-0005-0000-0000-00009B060000}"/>
    <cellStyle name="Normal 14 3 2 3 2 2 2" xfId="8180" xr:uid="{00000000-0005-0000-0000-00009C060000}"/>
    <cellStyle name="Normal 14 3 2 3 2 3" xfId="6058" xr:uid="{00000000-0005-0000-0000-00009D060000}"/>
    <cellStyle name="Normal 14 3 2 3 3" xfId="2875" xr:uid="{00000000-0005-0000-0000-00009E060000}"/>
    <cellStyle name="Normal 14 3 2 3 3 2" xfId="7121" xr:uid="{00000000-0005-0000-0000-00009F060000}"/>
    <cellStyle name="Normal 14 3 2 3 4" xfId="4999" xr:uid="{00000000-0005-0000-0000-0000A0060000}"/>
    <cellStyle name="Normal 14 3 2 4" xfId="1283" xr:uid="{00000000-0005-0000-0000-0000A1060000}"/>
    <cellStyle name="Normal 14 3 2 4 2" xfId="3405" xr:uid="{00000000-0005-0000-0000-0000A2060000}"/>
    <cellStyle name="Normal 14 3 2 4 2 2" xfId="7651" xr:uid="{00000000-0005-0000-0000-0000A3060000}"/>
    <cellStyle name="Normal 14 3 2 4 3" xfId="5529" xr:uid="{00000000-0005-0000-0000-0000A4060000}"/>
    <cellStyle name="Normal 14 3 2 5" xfId="2346" xr:uid="{00000000-0005-0000-0000-0000A5060000}"/>
    <cellStyle name="Normal 14 3 2 5 2" xfId="6592" xr:uid="{00000000-0005-0000-0000-0000A6060000}"/>
    <cellStyle name="Normal 14 3 2 6" xfId="4470" xr:uid="{00000000-0005-0000-0000-0000A7060000}"/>
    <cellStyle name="Normal 14 3 3" xfId="355" xr:uid="{00000000-0005-0000-0000-0000A8060000}"/>
    <cellStyle name="Normal 14 3 3 2" xfId="885" xr:uid="{00000000-0005-0000-0000-0000A9060000}"/>
    <cellStyle name="Normal 14 3 3 2 2" xfId="1944" xr:uid="{00000000-0005-0000-0000-0000AA060000}"/>
    <cellStyle name="Normal 14 3 3 2 2 2" xfId="4066" xr:uid="{00000000-0005-0000-0000-0000AB060000}"/>
    <cellStyle name="Normal 14 3 3 2 2 2 2" xfId="8312" xr:uid="{00000000-0005-0000-0000-0000AC060000}"/>
    <cellStyle name="Normal 14 3 3 2 2 3" xfId="6190" xr:uid="{00000000-0005-0000-0000-0000AD060000}"/>
    <cellStyle name="Normal 14 3 3 2 3" xfId="3007" xr:uid="{00000000-0005-0000-0000-0000AE060000}"/>
    <cellStyle name="Normal 14 3 3 2 3 2" xfId="7253" xr:uid="{00000000-0005-0000-0000-0000AF060000}"/>
    <cellStyle name="Normal 14 3 3 2 4" xfId="5131" xr:uid="{00000000-0005-0000-0000-0000B0060000}"/>
    <cellStyle name="Normal 14 3 3 3" xfId="1415" xr:uid="{00000000-0005-0000-0000-0000B1060000}"/>
    <cellStyle name="Normal 14 3 3 3 2" xfId="3537" xr:uid="{00000000-0005-0000-0000-0000B2060000}"/>
    <cellStyle name="Normal 14 3 3 3 2 2" xfId="7783" xr:uid="{00000000-0005-0000-0000-0000B3060000}"/>
    <cellStyle name="Normal 14 3 3 3 3" xfId="5661" xr:uid="{00000000-0005-0000-0000-0000B4060000}"/>
    <cellStyle name="Normal 14 3 3 4" xfId="2478" xr:uid="{00000000-0005-0000-0000-0000B5060000}"/>
    <cellStyle name="Normal 14 3 3 4 2" xfId="6724" xr:uid="{00000000-0005-0000-0000-0000B6060000}"/>
    <cellStyle name="Normal 14 3 3 5" xfId="4602" xr:uid="{00000000-0005-0000-0000-0000B7060000}"/>
    <cellStyle name="Normal 14 3 4" xfId="622" xr:uid="{00000000-0005-0000-0000-0000B8060000}"/>
    <cellStyle name="Normal 14 3 4 2" xfId="1681" xr:uid="{00000000-0005-0000-0000-0000B9060000}"/>
    <cellStyle name="Normal 14 3 4 2 2" xfId="3803" xr:uid="{00000000-0005-0000-0000-0000BA060000}"/>
    <cellStyle name="Normal 14 3 4 2 2 2" xfId="8049" xr:uid="{00000000-0005-0000-0000-0000BB060000}"/>
    <cellStyle name="Normal 14 3 4 2 3" xfId="5927" xr:uid="{00000000-0005-0000-0000-0000BC060000}"/>
    <cellStyle name="Normal 14 3 4 3" xfId="2744" xr:uid="{00000000-0005-0000-0000-0000BD060000}"/>
    <cellStyle name="Normal 14 3 4 3 2" xfId="6990" xr:uid="{00000000-0005-0000-0000-0000BE060000}"/>
    <cellStyle name="Normal 14 3 4 4" xfId="4868" xr:uid="{00000000-0005-0000-0000-0000BF060000}"/>
    <cellStyle name="Normal 14 3 5" xfId="1152" xr:uid="{00000000-0005-0000-0000-0000C0060000}"/>
    <cellStyle name="Normal 14 3 5 2" xfId="3274" xr:uid="{00000000-0005-0000-0000-0000C1060000}"/>
    <cellStyle name="Normal 14 3 5 2 2" xfId="7520" xr:uid="{00000000-0005-0000-0000-0000C2060000}"/>
    <cellStyle name="Normal 14 3 5 3" xfId="5398" xr:uid="{00000000-0005-0000-0000-0000C3060000}"/>
    <cellStyle name="Normal 14 3 6" xfId="2215" xr:uid="{00000000-0005-0000-0000-0000C4060000}"/>
    <cellStyle name="Normal 14 3 6 2" xfId="6461" xr:uid="{00000000-0005-0000-0000-0000C5060000}"/>
    <cellStyle name="Normal 14 3 7" xfId="4339" xr:uid="{00000000-0005-0000-0000-0000C6060000}"/>
    <cellStyle name="Normal 14 4" xfId="180" xr:uid="{00000000-0005-0000-0000-0000C7060000}"/>
    <cellStyle name="Normal 14 4 2" xfId="443" xr:uid="{00000000-0005-0000-0000-0000C8060000}"/>
    <cellStyle name="Normal 14 4 2 2" xfId="973" xr:uid="{00000000-0005-0000-0000-0000C9060000}"/>
    <cellStyle name="Normal 14 4 2 2 2" xfId="2032" xr:uid="{00000000-0005-0000-0000-0000CA060000}"/>
    <cellStyle name="Normal 14 4 2 2 2 2" xfId="4154" xr:uid="{00000000-0005-0000-0000-0000CB060000}"/>
    <cellStyle name="Normal 14 4 2 2 2 2 2" xfId="8400" xr:uid="{00000000-0005-0000-0000-0000CC060000}"/>
    <cellStyle name="Normal 14 4 2 2 2 3" xfId="6278" xr:uid="{00000000-0005-0000-0000-0000CD060000}"/>
    <cellStyle name="Normal 14 4 2 2 3" xfId="3095" xr:uid="{00000000-0005-0000-0000-0000CE060000}"/>
    <cellStyle name="Normal 14 4 2 2 3 2" xfId="7341" xr:uid="{00000000-0005-0000-0000-0000CF060000}"/>
    <cellStyle name="Normal 14 4 2 2 4" xfId="5219" xr:uid="{00000000-0005-0000-0000-0000D0060000}"/>
    <cellStyle name="Normal 14 4 2 3" xfId="1503" xr:uid="{00000000-0005-0000-0000-0000D1060000}"/>
    <cellStyle name="Normal 14 4 2 3 2" xfId="3625" xr:uid="{00000000-0005-0000-0000-0000D2060000}"/>
    <cellStyle name="Normal 14 4 2 3 2 2" xfId="7871" xr:uid="{00000000-0005-0000-0000-0000D3060000}"/>
    <cellStyle name="Normal 14 4 2 3 3" xfId="5749" xr:uid="{00000000-0005-0000-0000-0000D4060000}"/>
    <cellStyle name="Normal 14 4 2 4" xfId="2566" xr:uid="{00000000-0005-0000-0000-0000D5060000}"/>
    <cellStyle name="Normal 14 4 2 4 2" xfId="6812" xr:uid="{00000000-0005-0000-0000-0000D6060000}"/>
    <cellStyle name="Normal 14 4 2 5" xfId="4690" xr:uid="{00000000-0005-0000-0000-0000D7060000}"/>
    <cellStyle name="Normal 14 4 3" xfId="710" xr:uid="{00000000-0005-0000-0000-0000D8060000}"/>
    <cellStyle name="Normal 14 4 3 2" xfId="1769" xr:uid="{00000000-0005-0000-0000-0000D9060000}"/>
    <cellStyle name="Normal 14 4 3 2 2" xfId="3891" xr:uid="{00000000-0005-0000-0000-0000DA060000}"/>
    <cellStyle name="Normal 14 4 3 2 2 2" xfId="8137" xr:uid="{00000000-0005-0000-0000-0000DB060000}"/>
    <cellStyle name="Normal 14 4 3 2 3" xfId="6015" xr:uid="{00000000-0005-0000-0000-0000DC060000}"/>
    <cellStyle name="Normal 14 4 3 3" xfId="2832" xr:uid="{00000000-0005-0000-0000-0000DD060000}"/>
    <cellStyle name="Normal 14 4 3 3 2" xfId="7078" xr:uid="{00000000-0005-0000-0000-0000DE060000}"/>
    <cellStyle name="Normal 14 4 3 4" xfId="4956" xr:uid="{00000000-0005-0000-0000-0000DF060000}"/>
    <cellStyle name="Normal 14 4 4" xfId="1240" xr:uid="{00000000-0005-0000-0000-0000E0060000}"/>
    <cellStyle name="Normal 14 4 4 2" xfId="3362" xr:uid="{00000000-0005-0000-0000-0000E1060000}"/>
    <cellStyle name="Normal 14 4 4 2 2" xfId="7608" xr:uid="{00000000-0005-0000-0000-0000E2060000}"/>
    <cellStyle name="Normal 14 4 4 3" xfId="5486" xr:uid="{00000000-0005-0000-0000-0000E3060000}"/>
    <cellStyle name="Normal 14 4 5" xfId="2303" xr:uid="{00000000-0005-0000-0000-0000E4060000}"/>
    <cellStyle name="Normal 14 4 5 2" xfId="6549" xr:uid="{00000000-0005-0000-0000-0000E5060000}"/>
    <cellStyle name="Normal 14 4 6" xfId="4427" xr:uid="{00000000-0005-0000-0000-0000E6060000}"/>
    <cellStyle name="Normal 14 5" xfId="312" xr:uid="{00000000-0005-0000-0000-0000E7060000}"/>
    <cellStyle name="Normal 14 5 2" xfId="842" xr:uid="{00000000-0005-0000-0000-0000E8060000}"/>
    <cellStyle name="Normal 14 5 2 2" xfId="1901" xr:uid="{00000000-0005-0000-0000-0000E9060000}"/>
    <cellStyle name="Normal 14 5 2 2 2" xfId="4023" xr:uid="{00000000-0005-0000-0000-0000EA060000}"/>
    <cellStyle name="Normal 14 5 2 2 2 2" xfId="8269" xr:uid="{00000000-0005-0000-0000-0000EB060000}"/>
    <cellStyle name="Normal 14 5 2 2 3" xfId="6147" xr:uid="{00000000-0005-0000-0000-0000EC060000}"/>
    <cellStyle name="Normal 14 5 2 3" xfId="2964" xr:uid="{00000000-0005-0000-0000-0000ED060000}"/>
    <cellStyle name="Normal 14 5 2 3 2" xfId="7210" xr:uid="{00000000-0005-0000-0000-0000EE060000}"/>
    <cellStyle name="Normal 14 5 2 4" xfId="5088" xr:uid="{00000000-0005-0000-0000-0000EF060000}"/>
    <cellStyle name="Normal 14 5 3" xfId="1372" xr:uid="{00000000-0005-0000-0000-0000F0060000}"/>
    <cellStyle name="Normal 14 5 3 2" xfId="3494" xr:uid="{00000000-0005-0000-0000-0000F1060000}"/>
    <cellStyle name="Normal 14 5 3 2 2" xfId="7740" xr:uid="{00000000-0005-0000-0000-0000F2060000}"/>
    <cellStyle name="Normal 14 5 3 3" xfId="5618" xr:uid="{00000000-0005-0000-0000-0000F3060000}"/>
    <cellStyle name="Normal 14 5 4" xfId="2435" xr:uid="{00000000-0005-0000-0000-0000F4060000}"/>
    <cellStyle name="Normal 14 5 4 2" xfId="6681" xr:uid="{00000000-0005-0000-0000-0000F5060000}"/>
    <cellStyle name="Normal 14 5 5" xfId="4559" xr:uid="{00000000-0005-0000-0000-0000F6060000}"/>
    <cellStyle name="Normal 14 6" xfId="579" xr:uid="{00000000-0005-0000-0000-0000F7060000}"/>
    <cellStyle name="Normal 14 6 2" xfId="1638" xr:uid="{00000000-0005-0000-0000-0000F8060000}"/>
    <cellStyle name="Normal 14 6 2 2" xfId="3760" xr:uid="{00000000-0005-0000-0000-0000F9060000}"/>
    <cellStyle name="Normal 14 6 2 2 2" xfId="8006" xr:uid="{00000000-0005-0000-0000-0000FA060000}"/>
    <cellStyle name="Normal 14 6 2 3" xfId="5884" xr:uid="{00000000-0005-0000-0000-0000FB060000}"/>
    <cellStyle name="Normal 14 6 3" xfId="2701" xr:uid="{00000000-0005-0000-0000-0000FC060000}"/>
    <cellStyle name="Normal 14 6 3 2" xfId="6947" xr:uid="{00000000-0005-0000-0000-0000FD060000}"/>
    <cellStyle name="Normal 14 6 4" xfId="4825" xr:uid="{00000000-0005-0000-0000-0000FE060000}"/>
    <cellStyle name="Normal 14 7" xfId="1109" xr:uid="{00000000-0005-0000-0000-0000FF060000}"/>
    <cellStyle name="Normal 14 7 2" xfId="3231" xr:uid="{00000000-0005-0000-0000-000000070000}"/>
    <cellStyle name="Normal 14 7 2 2" xfId="7477" xr:uid="{00000000-0005-0000-0000-000001070000}"/>
    <cellStyle name="Normal 14 7 3" xfId="5355" xr:uid="{00000000-0005-0000-0000-000002070000}"/>
    <cellStyle name="Normal 14 8" xfId="2172" xr:uid="{00000000-0005-0000-0000-000003070000}"/>
    <cellStyle name="Normal 14 8 2" xfId="6418" xr:uid="{00000000-0005-0000-0000-000004070000}"/>
    <cellStyle name="Normal 14 9" xfId="4296" xr:uid="{00000000-0005-0000-0000-000005070000}"/>
    <cellStyle name="Normal 15" xfId="50" xr:uid="{00000000-0005-0000-0000-000006070000}"/>
    <cellStyle name="Normal 15 2" xfId="182" xr:uid="{00000000-0005-0000-0000-000007070000}"/>
    <cellStyle name="Normal 15 2 2" xfId="445" xr:uid="{00000000-0005-0000-0000-000008070000}"/>
    <cellStyle name="Normal 15 2 2 2" xfId="975" xr:uid="{00000000-0005-0000-0000-000009070000}"/>
    <cellStyle name="Normal 15 2 2 2 2" xfId="2034" xr:uid="{00000000-0005-0000-0000-00000A070000}"/>
    <cellStyle name="Normal 15 2 2 2 2 2" xfId="4156" xr:uid="{00000000-0005-0000-0000-00000B070000}"/>
    <cellStyle name="Normal 15 2 2 2 2 2 2" xfId="8402" xr:uid="{00000000-0005-0000-0000-00000C070000}"/>
    <cellStyle name="Normal 15 2 2 2 2 3" xfId="6280" xr:uid="{00000000-0005-0000-0000-00000D070000}"/>
    <cellStyle name="Normal 15 2 2 2 3" xfId="3097" xr:uid="{00000000-0005-0000-0000-00000E070000}"/>
    <cellStyle name="Normal 15 2 2 2 3 2" xfId="7343" xr:uid="{00000000-0005-0000-0000-00000F070000}"/>
    <cellStyle name="Normal 15 2 2 2 4" xfId="5221" xr:uid="{00000000-0005-0000-0000-000010070000}"/>
    <cellStyle name="Normal 15 2 2 3" xfId="1505" xr:uid="{00000000-0005-0000-0000-000011070000}"/>
    <cellStyle name="Normal 15 2 2 3 2" xfId="3627" xr:uid="{00000000-0005-0000-0000-000012070000}"/>
    <cellStyle name="Normal 15 2 2 3 2 2" xfId="7873" xr:uid="{00000000-0005-0000-0000-000013070000}"/>
    <cellStyle name="Normal 15 2 2 3 3" xfId="5751" xr:uid="{00000000-0005-0000-0000-000014070000}"/>
    <cellStyle name="Normal 15 2 2 4" xfId="2568" xr:uid="{00000000-0005-0000-0000-000015070000}"/>
    <cellStyle name="Normal 15 2 2 4 2" xfId="6814" xr:uid="{00000000-0005-0000-0000-000016070000}"/>
    <cellStyle name="Normal 15 2 2 5" xfId="4692" xr:uid="{00000000-0005-0000-0000-000017070000}"/>
    <cellStyle name="Normal 15 2 3" xfId="712" xr:uid="{00000000-0005-0000-0000-000018070000}"/>
    <cellStyle name="Normal 15 2 3 2" xfId="1771" xr:uid="{00000000-0005-0000-0000-000019070000}"/>
    <cellStyle name="Normal 15 2 3 2 2" xfId="3893" xr:uid="{00000000-0005-0000-0000-00001A070000}"/>
    <cellStyle name="Normal 15 2 3 2 2 2" xfId="8139" xr:uid="{00000000-0005-0000-0000-00001B070000}"/>
    <cellStyle name="Normal 15 2 3 2 3" xfId="6017" xr:uid="{00000000-0005-0000-0000-00001C070000}"/>
    <cellStyle name="Normal 15 2 3 3" xfId="2834" xr:uid="{00000000-0005-0000-0000-00001D070000}"/>
    <cellStyle name="Normal 15 2 3 3 2" xfId="7080" xr:uid="{00000000-0005-0000-0000-00001E070000}"/>
    <cellStyle name="Normal 15 2 3 4" xfId="4958" xr:uid="{00000000-0005-0000-0000-00001F070000}"/>
    <cellStyle name="Normal 15 2 4" xfId="1242" xr:uid="{00000000-0005-0000-0000-000020070000}"/>
    <cellStyle name="Normal 15 2 4 2" xfId="3364" xr:uid="{00000000-0005-0000-0000-000021070000}"/>
    <cellStyle name="Normal 15 2 4 2 2" xfId="7610" xr:uid="{00000000-0005-0000-0000-000022070000}"/>
    <cellStyle name="Normal 15 2 4 3" xfId="5488" xr:uid="{00000000-0005-0000-0000-000023070000}"/>
    <cellStyle name="Normal 15 2 5" xfId="2305" xr:uid="{00000000-0005-0000-0000-000024070000}"/>
    <cellStyle name="Normal 15 2 5 2" xfId="6551" xr:uid="{00000000-0005-0000-0000-000025070000}"/>
    <cellStyle name="Normal 15 2 6" xfId="4429" xr:uid="{00000000-0005-0000-0000-000026070000}"/>
    <cellStyle name="Normal 15 3" xfId="314" xr:uid="{00000000-0005-0000-0000-000027070000}"/>
    <cellStyle name="Normal 15 3 2" xfId="844" xr:uid="{00000000-0005-0000-0000-000028070000}"/>
    <cellStyle name="Normal 15 3 2 2" xfId="1903" xr:uid="{00000000-0005-0000-0000-000029070000}"/>
    <cellStyle name="Normal 15 3 2 2 2" xfId="4025" xr:uid="{00000000-0005-0000-0000-00002A070000}"/>
    <cellStyle name="Normal 15 3 2 2 2 2" xfId="8271" xr:uid="{00000000-0005-0000-0000-00002B070000}"/>
    <cellStyle name="Normal 15 3 2 2 3" xfId="6149" xr:uid="{00000000-0005-0000-0000-00002C070000}"/>
    <cellStyle name="Normal 15 3 2 3" xfId="2966" xr:uid="{00000000-0005-0000-0000-00002D070000}"/>
    <cellStyle name="Normal 15 3 2 3 2" xfId="7212" xr:uid="{00000000-0005-0000-0000-00002E070000}"/>
    <cellStyle name="Normal 15 3 2 4" xfId="5090" xr:uid="{00000000-0005-0000-0000-00002F070000}"/>
    <cellStyle name="Normal 15 3 3" xfId="1374" xr:uid="{00000000-0005-0000-0000-000030070000}"/>
    <cellStyle name="Normal 15 3 3 2" xfId="3496" xr:uid="{00000000-0005-0000-0000-000031070000}"/>
    <cellStyle name="Normal 15 3 3 2 2" xfId="7742" xr:uid="{00000000-0005-0000-0000-000032070000}"/>
    <cellStyle name="Normal 15 3 3 3" xfId="5620" xr:uid="{00000000-0005-0000-0000-000033070000}"/>
    <cellStyle name="Normal 15 3 4" xfId="2437" xr:uid="{00000000-0005-0000-0000-000034070000}"/>
    <cellStyle name="Normal 15 3 4 2" xfId="6683" xr:uid="{00000000-0005-0000-0000-000035070000}"/>
    <cellStyle name="Normal 15 3 5" xfId="4561" xr:uid="{00000000-0005-0000-0000-000036070000}"/>
    <cellStyle name="Normal 15 4" xfId="581" xr:uid="{00000000-0005-0000-0000-000037070000}"/>
    <cellStyle name="Normal 15 4 2" xfId="1640" xr:uid="{00000000-0005-0000-0000-000038070000}"/>
    <cellStyle name="Normal 15 4 2 2" xfId="3762" xr:uid="{00000000-0005-0000-0000-000039070000}"/>
    <cellStyle name="Normal 15 4 2 2 2" xfId="8008" xr:uid="{00000000-0005-0000-0000-00003A070000}"/>
    <cellStyle name="Normal 15 4 2 3" xfId="5886" xr:uid="{00000000-0005-0000-0000-00003B070000}"/>
    <cellStyle name="Normal 15 4 3" xfId="2703" xr:uid="{00000000-0005-0000-0000-00003C070000}"/>
    <cellStyle name="Normal 15 4 3 2" xfId="6949" xr:uid="{00000000-0005-0000-0000-00003D070000}"/>
    <cellStyle name="Normal 15 4 4" xfId="4827" xr:uid="{00000000-0005-0000-0000-00003E070000}"/>
    <cellStyle name="Normal 15 5" xfId="1111" xr:uid="{00000000-0005-0000-0000-00003F070000}"/>
    <cellStyle name="Normal 15 5 2" xfId="3233" xr:uid="{00000000-0005-0000-0000-000040070000}"/>
    <cellStyle name="Normal 15 5 2 2" xfId="7479" xr:uid="{00000000-0005-0000-0000-000041070000}"/>
    <cellStyle name="Normal 15 5 3" xfId="5357" xr:uid="{00000000-0005-0000-0000-000042070000}"/>
    <cellStyle name="Normal 15 6" xfId="2174" xr:uid="{00000000-0005-0000-0000-000043070000}"/>
    <cellStyle name="Normal 15 6 2" xfId="6420" xr:uid="{00000000-0005-0000-0000-000044070000}"/>
    <cellStyle name="Normal 15 7" xfId="4298" xr:uid="{00000000-0005-0000-0000-000045070000}"/>
    <cellStyle name="Normal 16" xfId="93" xr:uid="{00000000-0005-0000-0000-000046070000}"/>
    <cellStyle name="Normal 16 2" xfId="224" xr:uid="{00000000-0005-0000-0000-000047070000}"/>
    <cellStyle name="Normal 16 2 2" xfId="487" xr:uid="{00000000-0005-0000-0000-000048070000}"/>
    <cellStyle name="Normal 16 2 2 2" xfId="1017" xr:uid="{00000000-0005-0000-0000-000049070000}"/>
    <cellStyle name="Normal 16 2 2 2 2" xfId="2076" xr:uid="{00000000-0005-0000-0000-00004A070000}"/>
    <cellStyle name="Normal 16 2 2 2 2 2" xfId="4198" xr:uid="{00000000-0005-0000-0000-00004B070000}"/>
    <cellStyle name="Normal 16 2 2 2 2 2 2" xfId="8444" xr:uid="{00000000-0005-0000-0000-00004C070000}"/>
    <cellStyle name="Normal 16 2 2 2 2 3" xfId="6322" xr:uid="{00000000-0005-0000-0000-00004D070000}"/>
    <cellStyle name="Normal 16 2 2 2 3" xfId="3139" xr:uid="{00000000-0005-0000-0000-00004E070000}"/>
    <cellStyle name="Normal 16 2 2 2 3 2" xfId="7385" xr:uid="{00000000-0005-0000-0000-00004F070000}"/>
    <cellStyle name="Normal 16 2 2 2 4" xfId="5263" xr:uid="{00000000-0005-0000-0000-000050070000}"/>
    <cellStyle name="Normal 16 2 2 3" xfId="1547" xr:uid="{00000000-0005-0000-0000-000051070000}"/>
    <cellStyle name="Normal 16 2 2 3 2" xfId="3669" xr:uid="{00000000-0005-0000-0000-000052070000}"/>
    <cellStyle name="Normal 16 2 2 3 2 2" xfId="7915" xr:uid="{00000000-0005-0000-0000-000053070000}"/>
    <cellStyle name="Normal 16 2 2 3 3" xfId="5793" xr:uid="{00000000-0005-0000-0000-000054070000}"/>
    <cellStyle name="Normal 16 2 2 4" xfId="2610" xr:uid="{00000000-0005-0000-0000-000055070000}"/>
    <cellStyle name="Normal 16 2 2 4 2" xfId="6856" xr:uid="{00000000-0005-0000-0000-000056070000}"/>
    <cellStyle name="Normal 16 2 2 5" xfId="4734" xr:uid="{00000000-0005-0000-0000-000057070000}"/>
    <cellStyle name="Normal 16 2 3" xfId="754" xr:uid="{00000000-0005-0000-0000-000058070000}"/>
    <cellStyle name="Normal 16 2 3 2" xfId="1813" xr:uid="{00000000-0005-0000-0000-000059070000}"/>
    <cellStyle name="Normal 16 2 3 2 2" xfId="3935" xr:uid="{00000000-0005-0000-0000-00005A070000}"/>
    <cellStyle name="Normal 16 2 3 2 2 2" xfId="8181" xr:uid="{00000000-0005-0000-0000-00005B070000}"/>
    <cellStyle name="Normal 16 2 3 2 3" xfId="6059" xr:uid="{00000000-0005-0000-0000-00005C070000}"/>
    <cellStyle name="Normal 16 2 3 3" xfId="2876" xr:uid="{00000000-0005-0000-0000-00005D070000}"/>
    <cellStyle name="Normal 16 2 3 3 2" xfId="7122" xr:uid="{00000000-0005-0000-0000-00005E070000}"/>
    <cellStyle name="Normal 16 2 3 4" xfId="5000" xr:uid="{00000000-0005-0000-0000-00005F070000}"/>
    <cellStyle name="Normal 16 2 4" xfId="1284" xr:uid="{00000000-0005-0000-0000-000060070000}"/>
    <cellStyle name="Normal 16 2 4 2" xfId="3406" xr:uid="{00000000-0005-0000-0000-000061070000}"/>
    <cellStyle name="Normal 16 2 4 2 2" xfId="7652" xr:uid="{00000000-0005-0000-0000-000062070000}"/>
    <cellStyle name="Normal 16 2 4 3" xfId="5530" xr:uid="{00000000-0005-0000-0000-000063070000}"/>
    <cellStyle name="Normal 16 2 5" xfId="2347" xr:uid="{00000000-0005-0000-0000-000064070000}"/>
    <cellStyle name="Normal 16 2 5 2" xfId="6593" xr:uid="{00000000-0005-0000-0000-000065070000}"/>
    <cellStyle name="Normal 16 2 6" xfId="4471" xr:uid="{00000000-0005-0000-0000-000066070000}"/>
    <cellStyle name="Normal 16 3" xfId="356" xr:uid="{00000000-0005-0000-0000-000067070000}"/>
    <cellStyle name="Normal 16 3 2" xfId="886" xr:uid="{00000000-0005-0000-0000-000068070000}"/>
    <cellStyle name="Normal 16 3 2 2" xfId="1945" xr:uid="{00000000-0005-0000-0000-000069070000}"/>
    <cellStyle name="Normal 16 3 2 2 2" xfId="4067" xr:uid="{00000000-0005-0000-0000-00006A070000}"/>
    <cellStyle name="Normal 16 3 2 2 2 2" xfId="8313" xr:uid="{00000000-0005-0000-0000-00006B070000}"/>
    <cellStyle name="Normal 16 3 2 2 3" xfId="6191" xr:uid="{00000000-0005-0000-0000-00006C070000}"/>
    <cellStyle name="Normal 16 3 2 3" xfId="3008" xr:uid="{00000000-0005-0000-0000-00006D070000}"/>
    <cellStyle name="Normal 16 3 2 3 2" xfId="7254" xr:uid="{00000000-0005-0000-0000-00006E070000}"/>
    <cellStyle name="Normal 16 3 2 4" xfId="5132" xr:uid="{00000000-0005-0000-0000-00006F070000}"/>
    <cellStyle name="Normal 16 3 3" xfId="1416" xr:uid="{00000000-0005-0000-0000-000070070000}"/>
    <cellStyle name="Normal 16 3 3 2" xfId="3538" xr:uid="{00000000-0005-0000-0000-000071070000}"/>
    <cellStyle name="Normal 16 3 3 2 2" xfId="7784" xr:uid="{00000000-0005-0000-0000-000072070000}"/>
    <cellStyle name="Normal 16 3 3 3" xfId="5662" xr:uid="{00000000-0005-0000-0000-000073070000}"/>
    <cellStyle name="Normal 16 3 4" xfId="2479" xr:uid="{00000000-0005-0000-0000-000074070000}"/>
    <cellStyle name="Normal 16 3 4 2" xfId="6725" xr:uid="{00000000-0005-0000-0000-000075070000}"/>
    <cellStyle name="Normal 16 3 5" xfId="4603" xr:uid="{00000000-0005-0000-0000-000076070000}"/>
    <cellStyle name="Normal 16 4" xfId="623" xr:uid="{00000000-0005-0000-0000-000077070000}"/>
    <cellStyle name="Normal 16 4 2" xfId="1682" xr:uid="{00000000-0005-0000-0000-000078070000}"/>
    <cellStyle name="Normal 16 4 2 2" xfId="3804" xr:uid="{00000000-0005-0000-0000-000079070000}"/>
    <cellStyle name="Normal 16 4 2 2 2" xfId="8050" xr:uid="{00000000-0005-0000-0000-00007A070000}"/>
    <cellStyle name="Normal 16 4 2 3" xfId="5928" xr:uid="{00000000-0005-0000-0000-00007B070000}"/>
    <cellStyle name="Normal 16 4 3" xfId="2745" xr:uid="{00000000-0005-0000-0000-00007C070000}"/>
    <cellStyle name="Normal 16 4 3 2" xfId="6991" xr:uid="{00000000-0005-0000-0000-00007D070000}"/>
    <cellStyle name="Normal 16 4 4" xfId="4869" xr:uid="{00000000-0005-0000-0000-00007E070000}"/>
    <cellStyle name="Normal 16 5" xfId="1153" xr:uid="{00000000-0005-0000-0000-00007F070000}"/>
    <cellStyle name="Normal 16 5 2" xfId="3275" xr:uid="{00000000-0005-0000-0000-000080070000}"/>
    <cellStyle name="Normal 16 5 2 2" xfId="7521" xr:uid="{00000000-0005-0000-0000-000081070000}"/>
    <cellStyle name="Normal 16 5 3" xfId="5399" xr:uid="{00000000-0005-0000-0000-000082070000}"/>
    <cellStyle name="Normal 16 6" xfId="2216" xr:uid="{00000000-0005-0000-0000-000083070000}"/>
    <cellStyle name="Normal 16 6 2" xfId="6462" xr:uid="{00000000-0005-0000-0000-000084070000}"/>
    <cellStyle name="Normal 16 7" xfId="4340" xr:uid="{00000000-0005-0000-0000-000085070000}"/>
    <cellStyle name="Normal 17" xfId="49" xr:uid="{00000000-0005-0000-0000-000086070000}"/>
    <cellStyle name="Normal 17 2" xfId="181" xr:uid="{00000000-0005-0000-0000-000087070000}"/>
    <cellStyle name="Normal 17 2 2" xfId="444" xr:uid="{00000000-0005-0000-0000-000088070000}"/>
    <cellStyle name="Normal 17 2 2 2" xfId="974" xr:uid="{00000000-0005-0000-0000-000089070000}"/>
    <cellStyle name="Normal 17 2 2 2 2" xfId="2033" xr:uid="{00000000-0005-0000-0000-00008A070000}"/>
    <cellStyle name="Normal 17 2 2 2 2 2" xfId="4155" xr:uid="{00000000-0005-0000-0000-00008B070000}"/>
    <cellStyle name="Normal 17 2 2 2 2 2 2" xfId="8401" xr:uid="{00000000-0005-0000-0000-00008C070000}"/>
    <cellStyle name="Normal 17 2 2 2 2 3" xfId="6279" xr:uid="{00000000-0005-0000-0000-00008D070000}"/>
    <cellStyle name="Normal 17 2 2 2 3" xfId="3096" xr:uid="{00000000-0005-0000-0000-00008E070000}"/>
    <cellStyle name="Normal 17 2 2 2 3 2" xfId="7342" xr:uid="{00000000-0005-0000-0000-00008F070000}"/>
    <cellStyle name="Normal 17 2 2 2 4" xfId="5220" xr:uid="{00000000-0005-0000-0000-000090070000}"/>
    <cellStyle name="Normal 17 2 2 3" xfId="1504" xr:uid="{00000000-0005-0000-0000-000091070000}"/>
    <cellStyle name="Normal 17 2 2 3 2" xfId="3626" xr:uid="{00000000-0005-0000-0000-000092070000}"/>
    <cellStyle name="Normal 17 2 2 3 2 2" xfId="7872" xr:uid="{00000000-0005-0000-0000-000093070000}"/>
    <cellStyle name="Normal 17 2 2 3 3" xfId="5750" xr:uid="{00000000-0005-0000-0000-000094070000}"/>
    <cellStyle name="Normal 17 2 2 4" xfId="2567" xr:uid="{00000000-0005-0000-0000-000095070000}"/>
    <cellStyle name="Normal 17 2 2 4 2" xfId="6813" xr:uid="{00000000-0005-0000-0000-000096070000}"/>
    <cellStyle name="Normal 17 2 2 5" xfId="4691" xr:uid="{00000000-0005-0000-0000-000097070000}"/>
    <cellStyle name="Normal 17 2 3" xfId="711" xr:uid="{00000000-0005-0000-0000-000098070000}"/>
    <cellStyle name="Normal 17 2 3 2" xfId="1770" xr:uid="{00000000-0005-0000-0000-000099070000}"/>
    <cellStyle name="Normal 17 2 3 2 2" xfId="3892" xr:uid="{00000000-0005-0000-0000-00009A070000}"/>
    <cellStyle name="Normal 17 2 3 2 2 2" xfId="8138" xr:uid="{00000000-0005-0000-0000-00009B070000}"/>
    <cellStyle name="Normal 17 2 3 2 3" xfId="6016" xr:uid="{00000000-0005-0000-0000-00009C070000}"/>
    <cellStyle name="Normal 17 2 3 3" xfId="2833" xr:uid="{00000000-0005-0000-0000-00009D070000}"/>
    <cellStyle name="Normal 17 2 3 3 2" xfId="7079" xr:uid="{00000000-0005-0000-0000-00009E070000}"/>
    <cellStyle name="Normal 17 2 3 4" xfId="4957" xr:uid="{00000000-0005-0000-0000-00009F070000}"/>
    <cellStyle name="Normal 17 2 4" xfId="1241" xr:uid="{00000000-0005-0000-0000-0000A0070000}"/>
    <cellStyle name="Normal 17 2 4 2" xfId="3363" xr:uid="{00000000-0005-0000-0000-0000A1070000}"/>
    <cellStyle name="Normal 17 2 4 2 2" xfId="7609" xr:uid="{00000000-0005-0000-0000-0000A2070000}"/>
    <cellStyle name="Normal 17 2 4 3" xfId="5487" xr:uid="{00000000-0005-0000-0000-0000A3070000}"/>
    <cellStyle name="Normal 17 2 5" xfId="2304" xr:uid="{00000000-0005-0000-0000-0000A4070000}"/>
    <cellStyle name="Normal 17 2 5 2" xfId="6550" xr:uid="{00000000-0005-0000-0000-0000A5070000}"/>
    <cellStyle name="Normal 17 2 6" xfId="4428" xr:uid="{00000000-0005-0000-0000-0000A6070000}"/>
    <cellStyle name="Normal 17 3" xfId="313" xr:uid="{00000000-0005-0000-0000-0000A7070000}"/>
    <cellStyle name="Normal 17 3 2" xfId="843" xr:uid="{00000000-0005-0000-0000-0000A8070000}"/>
    <cellStyle name="Normal 17 3 2 2" xfId="1902" xr:uid="{00000000-0005-0000-0000-0000A9070000}"/>
    <cellStyle name="Normal 17 3 2 2 2" xfId="4024" xr:uid="{00000000-0005-0000-0000-0000AA070000}"/>
    <cellStyle name="Normal 17 3 2 2 2 2" xfId="8270" xr:uid="{00000000-0005-0000-0000-0000AB070000}"/>
    <cellStyle name="Normal 17 3 2 2 3" xfId="6148" xr:uid="{00000000-0005-0000-0000-0000AC070000}"/>
    <cellStyle name="Normal 17 3 2 3" xfId="2965" xr:uid="{00000000-0005-0000-0000-0000AD070000}"/>
    <cellStyle name="Normal 17 3 2 3 2" xfId="7211" xr:uid="{00000000-0005-0000-0000-0000AE070000}"/>
    <cellStyle name="Normal 17 3 2 4" xfId="5089" xr:uid="{00000000-0005-0000-0000-0000AF070000}"/>
    <cellStyle name="Normal 17 3 3" xfId="1373" xr:uid="{00000000-0005-0000-0000-0000B0070000}"/>
    <cellStyle name="Normal 17 3 3 2" xfId="3495" xr:uid="{00000000-0005-0000-0000-0000B1070000}"/>
    <cellStyle name="Normal 17 3 3 2 2" xfId="7741" xr:uid="{00000000-0005-0000-0000-0000B2070000}"/>
    <cellStyle name="Normal 17 3 3 3" xfId="5619" xr:uid="{00000000-0005-0000-0000-0000B3070000}"/>
    <cellStyle name="Normal 17 3 4" xfId="2436" xr:uid="{00000000-0005-0000-0000-0000B4070000}"/>
    <cellStyle name="Normal 17 3 4 2" xfId="6682" xr:uid="{00000000-0005-0000-0000-0000B5070000}"/>
    <cellStyle name="Normal 17 3 5" xfId="4560" xr:uid="{00000000-0005-0000-0000-0000B6070000}"/>
    <cellStyle name="Normal 17 4" xfId="580" xr:uid="{00000000-0005-0000-0000-0000B7070000}"/>
    <cellStyle name="Normal 17 4 2" xfId="1639" xr:uid="{00000000-0005-0000-0000-0000B8070000}"/>
    <cellStyle name="Normal 17 4 2 2" xfId="3761" xr:uid="{00000000-0005-0000-0000-0000B9070000}"/>
    <cellStyle name="Normal 17 4 2 2 2" xfId="8007" xr:uid="{00000000-0005-0000-0000-0000BA070000}"/>
    <cellStyle name="Normal 17 4 2 3" xfId="5885" xr:uid="{00000000-0005-0000-0000-0000BB070000}"/>
    <cellStyle name="Normal 17 4 3" xfId="2702" xr:uid="{00000000-0005-0000-0000-0000BC070000}"/>
    <cellStyle name="Normal 17 4 3 2" xfId="6948" xr:uid="{00000000-0005-0000-0000-0000BD070000}"/>
    <cellStyle name="Normal 17 4 4" xfId="4826" xr:uid="{00000000-0005-0000-0000-0000BE070000}"/>
    <cellStyle name="Normal 17 5" xfId="1110" xr:uid="{00000000-0005-0000-0000-0000BF070000}"/>
    <cellStyle name="Normal 17 5 2" xfId="3232" xr:uid="{00000000-0005-0000-0000-0000C0070000}"/>
    <cellStyle name="Normal 17 5 2 2" xfId="7478" xr:uid="{00000000-0005-0000-0000-0000C1070000}"/>
    <cellStyle name="Normal 17 5 3" xfId="5356" xr:uid="{00000000-0005-0000-0000-0000C2070000}"/>
    <cellStyle name="Normal 17 6" xfId="2173" xr:uid="{00000000-0005-0000-0000-0000C3070000}"/>
    <cellStyle name="Normal 17 6 2" xfId="6419" xr:uid="{00000000-0005-0000-0000-0000C4070000}"/>
    <cellStyle name="Normal 17 7" xfId="4297" xr:uid="{00000000-0005-0000-0000-0000C5070000}"/>
    <cellStyle name="Normal 18" xfId="135" xr:uid="{00000000-0005-0000-0000-0000C6070000}"/>
    <cellStyle name="Normal 18 2" xfId="266" xr:uid="{00000000-0005-0000-0000-0000C7070000}"/>
    <cellStyle name="Normal 18 2 2" xfId="529" xr:uid="{00000000-0005-0000-0000-0000C8070000}"/>
    <cellStyle name="Normal 18 2 2 2" xfId="1059" xr:uid="{00000000-0005-0000-0000-0000C9070000}"/>
    <cellStyle name="Normal 18 2 2 2 2" xfId="2118" xr:uid="{00000000-0005-0000-0000-0000CA070000}"/>
    <cellStyle name="Normal 18 2 2 2 2 2" xfId="4240" xr:uid="{00000000-0005-0000-0000-0000CB070000}"/>
    <cellStyle name="Normal 18 2 2 2 2 2 2" xfId="8486" xr:uid="{00000000-0005-0000-0000-0000CC070000}"/>
    <cellStyle name="Normal 18 2 2 2 2 3" xfId="6364" xr:uid="{00000000-0005-0000-0000-0000CD070000}"/>
    <cellStyle name="Normal 18 2 2 2 3" xfId="3181" xr:uid="{00000000-0005-0000-0000-0000CE070000}"/>
    <cellStyle name="Normal 18 2 2 2 3 2" xfId="7427" xr:uid="{00000000-0005-0000-0000-0000CF070000}"/>
    <cellStyle name="Normal 18 2 2 2 4" xfId="5305" xr:uid="{00000000-0005-0000-0000-0000D0070000}"/>
    <cellStyle name="Normal 18 2 2 3" xfId="1589" xr:uid="{00000000-0005-0000-0000-0000D1070000}"/>
    <cellStyle name="Normal 18 2 2 3 2" xfId="3711" xr:uid="{00000000-0005-0000-0000-0000D2070000}"/>
    <cellStyle name="Normal 18 2 2 3 2 2" xfId="7957" xr:uid="{00000000-0005-0000-0000-0000D3070000}"/>
    <cellStyle name="Normal 18 2 2 3 3" xfId="5835" xr:uid="{00000000-0005-0000-0000-0000D4070000}"/>
    <cellStyle name="Normal 18 2 2 4" xfId="2652" xr:uid="{00000000-0005-0000-0000-0000D5070000}"/>
    <cellStyle name="Normal 18 2 2 4 2" xfId="6898" xr:uid="{00000000-0005-0000-0000-0000D6070000}"/>
    <cellStyle name="Normal 18 2 2 5" xfId="4776" xr:uid="{00000000-0005-0000-0000-0000D7070000}"/>
    <cellStyle name="Normal 18 2 3" xfId="796" xr:uid="{00000000-0005-0000-0000-0000D8070000}"/>
    <cellStyle name="Normal 18 2 3 2" xfId="1855" xr:uid="{00000000-0005-0000-0000-0000D9070000}"/>
    <cellStyle name="Normal 18 2 3 2 2" xfId="3977" xr:uid="{00000000-0005-0000-0000-0000DA070000}"/>
    <cellStyle name="Normal 18 2 3 2 2 2" xfId="8223" xr:uid="{00000000-0005-0000-0000-0000DB070000}"/>
    <cellStyle name="Normal 18 2 3 2 3" xfId="6101" xr:uid="{00000000-0005-0000-0000-0000DC070000}"/>
    <cellStyle name="Normal 18 2 3 3" xfId="2918" xr:uid="{00000000-0005-0000-0000-0000DD070000}"/>
    <cellStyle name="Normal 18 2 3 3 2" xfId="7164" xr:uid="{00000000-0005-0000-0000-0000DE070000}"/>
    <cellStyle name="Normal 18 2 3 4" xfId="5042" xr:uid="{00000000-0005-0000-0000-0000DF070000}"/>
    <cellStyle name="Normal 18 2 4" xfId="1326" xr:uid="{00000000-0005-0000-0000-0000E0070000}"/>
    <cellStyle name="Normal 18 2 4 2" xfId="3448" xr:uid="{00000000-0005-0000-0000-0000E1070000}"/>
    <cellStyle name="Normal 18 2 4 2 2" xfId="7694" xr:uid="{00000000-0005-0000-0000-0000E2070000}"/>
    <cellStyle name="Normal 18 2 4 3" xfId="5572" xr:uid="{00000000-0005-0000-0000-0000E3070000}"/>
    <cellStyle name="Normal 18 2 5" xfId="2389" xr:uid="{00000000-0005-0000-0000-0000E4070000}"/>
    <cellStyle name="Normal 18 2 5 2" xfId="6635" xr:uid="{00000000-0005-0000-0000-0000E5070000}"/>
    <cellStyle name="Normal 18 2 6" xfId="4513" xr:uid="{00000000-0005-0000-0000-0000E6070000}"/>
    <cellStyle name="Normal 18 3" xfId="398" xr:uid="{00000000-0005-0000-0000-0000E7070000}"/>
    <cellStyle name="Normal 18 3 2" xfId="928" xr:uid="{00000000-0005-0000-0000-0000E8070000}"/>
    <cellStyle name="Normal 18 3 2 2" xfId="1987" xr:uid="{00000000-0005-0000-0000-0000E9070000}"/>
    <cellStyle name="Normal 18 3 2 2 2" xfId="4109" xr:uid="{00000000-0005-0000-0000-0000EA070000}"/>
    <cellStyle name="Normal 18 3 2 2 2 2" xfId="8355" xr:uid="{00000000-0005-0000-0000-0000EB070000}"/>
    <cellStyle name="Normal 18 3 2 2 3" xfId="6233" xr:uid="{00000000-0005-0000-0000-0000EC070000}"/>
    <cellStyle name="Normal 18 3 2 3" xfId="3050" xr:uid="{00000000-0005-0000-0000-0000ED070000}"/>
    <cellStyle name="Normal 18 3 2 3 2" xfId="7296" xr:uid="{00000000-0005-0000-0000-0000EE070000}"/>
    <cellStyle name="Normal 18 3 2 4" xfId="5174" xr:uid="{00000000-0005-0000-0000-0000EF070000}"/>
    <cellStyle name="Normal 18 3 3" xfId="1458" xr:uid="{00000000-0005-0000-0000-0000F0070000}"/>
    <cellStyle name="Normal 18 3 3 2" xfId="3580" xr:uid="{00000000-0005-0000-0000-0000F1070000}"/>
    <cellStyle name="Normal 18 3 3 2 2" xfId="7826" xr:uid="{00000000-0005-0000-0000-0000F2070000}"/>
    <cellStyle name="Normal 18 3 3 3" xfId="5704" xr:uid="{00000000-0005-0000-0000-0000F3070000}"/>
    <cellStyle name="Normal 18 3 4" xfId="2521" xr:uid="{00000000-0005-0000-0000-0000F4070000}"/>
    <cellStyle name="Normal 18 3 4 2" xfId="6767" xr:uid="{00000000-0005-0000-0000-0000F5070000}"/>
    <cellStyle name="Normal 18 3 5" xfId="4645" xr:uid="{00000000-0005-0000-0000-0000F6070000}"/>
    <cellStyle name="Normal 18 4" xfId="665" xr:uid="{00000000-0005-0000-0000-0000F7070000}"/>
    <cellStyle name="Normal 18 4 2" xfId="1724" xr:uid="{00000000-0005-0000-0000-0000F8070000}"/>
    <cellStyle name="Normal 18 4 2 2" xfId="3846" xr:uid="{00000000-0005-0000-0000-0000F9070000}"/>
    <cellStyle name="Normal 18 4 2 2 2" xfId="8092" xr:uid="{00000000-0005-0000-0000-0000FA070000}"/>
    <cellStyle name="Normal 18 4 2 3" xfId="5970" xr:uid="{00000000-0005-0000-0000-0000FB070000}"/>
    <cellStyle name="Normal 18 4 3" xfId="2787" xr:uid="{00000000-0005-0000-0000-0000FC070000}"/>
    <cellStyle name="Normal 18 4 3 2" xfId="7033" xr:uid="{00000000-0005-0000-0000-0000FD070000}"/>
    <cellStyle name="Normal 18 4 4" xfId="4911" xr:uid="{00000000-0005-0000-0000-0000FE070000}"/>
    <cellStyle name="Normal 18 5" xfId="1195" xr:uid="{00000000-0005-0000-0000-0000FF070000}"/>
    <cellStyle name="Normal 18 5 2" xfId="3317" xr:uid="{00000000-0005-0000-0000-000000080000}"/>
    <cellStyle name="Normal 18 5 2 2" xfId="7563" xr:uid="{00000000-0005-0000-0000-000001080000}"/>
    <cellStyle name="Normal 18 5 3" xfId="5441" xr:uid="{00000000-0005-0000-0000-000002080000}"/>
    <cellStyle name="Normal 18 6" xfId="2258" xr:uid="{00000000-0005-0000-0000-000003080000}"/>
    <cellStyle name="Normal 18 6 2" xfId="6504" xr:uid="{00000000-0005-0000-0000-000004080000}"/>
    <cellStyle name="Normal 18 7" xfId="4382" xr:uid="{00000000-0005-0000-0000-000005080000}"/>
    <cellStyle name="Normal 19" xfId="136" xr:uid="{00000000-0005-0000-0000-000006080000}"/>
    <cellStyle name="Normal 19 2" xfId="267" xr:uid="{00000000-0005-0000-0000-000007080000}"/>
    <cellStyle name="Normal 19 2 2" xfId="530" xr:uid="{00000000-0005-0000-0000-000008080000}"/>
    <cellStyle name="Normal 19 2 2 2" xfId="1060" xr:uid="{00000000-0005-0000-0000-000009080000}"/>
    <cellStyle name="Normal 19 2 2 2 2" xfId="2119" xr:uid="{00000000-0005-0000-0000-00000A080000}"/>
    <cellStyle name="Normal 19 2 2 2 2 2" xfId="4241" xr:uid="{00000000-0005-0000-0000-00000B080000}"/>
    <cellStyle name="Normal 19 2 2 2 2 2 2" xfId="8487" xr:uid="{00000000-0005-0000-0000-00000C080000}"/>
    <cellStyle name="Normal 19 2 2 2 2 3" xfId="6365" xr:uid="{00000000-0005-0000-0000-00000D080000}"/>
    <cellStyle name="Normal 19 2 2 2 3" xfId="3182" xr:uid="{00000000-0005-0000-0000-00000E080000}"/>
    <cellStyle name="Normal 19 2 2 2 3 2" xfId="7428" xr:uid="{00000000-0005-0000-0000-00000F080000}"/>
    <cellStyle name="Normal 19 2 2 2 4" xfId="5306" xr:uid="{00000000-0005-0000-0000-000010080000}"/>
    <cellStyle name="Normal 19 2 2 3" xfId="1590" xr:uid="{00000000-0005-0000-0000-000011080000}"/>
    <cellStyle name="Normal 19 2 2 3 2" xfId="3712" xr:uid="{00000000-0005-0000-0000-000012080000}"/>
    <cellStyle name="Normal 19 2 2 3 2 2" xfId="7958" xr:uid="{00000000-0005-0000-0000-000013080000}"/>
    <cellStyle name="Normal 19 2 2 3 3" xfId="5836" xr:uid="{00000000-0005-0000-0000-000014080000}"/>
    <cellStyle name="Normal 19 2 2 4" xfId="2653" xr:uid="{00000000-0005-0000-0000-000015080000}"/>
    <cellStyle name="Normal 19 2 2 4 2" xfId="6899" xr:uid="{00000000-0005-0000-0000-000016080000}"/>
    <cellStyle name="Normal 19 2 2 5" xfId="4777" xr:uid="{00000000-0005-0000-0000-000017080000}"/>
    <cellStyle name="Normal 19 2 3" xfId="797" xr:uid="{00000000-0005-0000-0000-000018080000}"/>
    <cellStyle name="Normal 19 2 3 2" xfId="1856" xr:uid="{00000000-0005-0000-0000-000019080000}"/>
    <cellStyle name="Normal 19 2 3 2 2" xfId="3978" xr:uid="{00000000-0005-0000-0000-00001A080000}"/>
    <cellStyle name="Normal 19 2 3 2 2 2" xfId="8224" xr:uid="{00000000-0005-0000-0000-00001B080000}"/>
    <cellStyle name="Normal 19 2 3 2 3" xfId="6102" xr:uid="{00000000-0005-0000-0000-00001C080000}"/>
    <cellStyle name="Normal 19 2 3 3" xfId="2919" xr:uid="{00000000-0005-0000-0000-00001D080000}"/>
    <cellStyle name="Normal 19 2 3 3 2" xfId="7165" xr:uid="{00000000-0005-0000-0000-00001E080000}"/>
    <cellStyle name="Normal 19 2 3 4" xfId="5043" xr:uid="{00000000-0005-0000-0000-00001F080000}"/>
    <cellStyle name="Normal 19 2 4" xfId="1327" xr:uid="{00000000-0005-0000-0000-000020080000}"/>
    <cellStyle name="Normal 19 2 4 2" xfId="3449" xr:uid="{00000000-0005-0000-0000-000021080000}"/>
    <cellStyle name="Normal 19 2 4 2 2" xfId="7695" xr:uid="{00000000-0005-0000-0000-000022080000}"/>
    <cellStyle name="Normal 19 2 4 3" xfId="5573" xr:uid="{00000000-0005-0000-0000-000023080000}"/>
    <cellStyle name="Normal 19 2 5" xfId="2390" xr:uid="{00000000-0005-0000-0000-000024080000}"/>
    <cellStyle name="Normal 19 2 5 2" xfId="6636" xr:uid="{00000000-0005-0000-0000-000025080000}"/>
    <cellStyle name="Normal 19 2 6" xfId="4514" xr:uid="{00000000-0005-0000-0000-000026080000}"/>
    <cellStyle name="Normal 19 3" xfId="399" xr:uid="{00000000-0005-0000-0000-000027080000}"/>
    <cellStyle name="Normal 19 3 2" xfId="929" xr:uid="{00000000-0005-0000-0000-000028080000}"/>
    <cellStyle name="Normal 19 3 2 2" xfId="1988" xr:uid="{00000000-0005-0000-0000-000029080000}"/>
    <cellStyle name="Normal 19 3 2 2 2" xfId="4110" xr:uid="{00000000-0005-0000-0000-00002A080000}"/>
    <cellStyle name="Normal 19 3 2 2 2 2" xfId="8356" xr:uid="{00000000-0005-0000-0000-00002B080000}"/>
    <cellStyle name="Normal 19 3 2 2 3" xfId="6234" xr:uid="{00000000-0005-0000-0000-00002C080000}"/>
    <cellStyle name="Normal 19 3 2 3" xfId="3051" xr:uid="{00000000-0005-0000-0000-00002D080000}"/>
    <cellStyle name="Normal 19 3 2 3 2" xfId="7297" xr:uid="{00000000-0005-0000-0000-00002E080000}"/>
    <cellStyle name="Normal 19 3 2 4" xfId="5175" xr:uid="{00000000-0005-0000-0000-00002F080000}"/>
    <cellStyle name="Normal 19 3 3" xfId="1459" xr:uid="{00000000-0005-0000-0000-000030080000}"/>
    <cellStyle name="Normal 19 3 3 2" xfId="3581" xr:uid="{00000000-0005-0000-0000-000031080000}"/>
    <cellStyle name="Normal 19 3 3 2 2" xfId="7827" xr:uid="{00000000-0005-0000-0000-000032080000}"/>
    <cellStyle name="Normal 19 3 3 3" xfId="5705" xr:uid="{00000000-0005-0000-0000-000033080000}"/>
    <cellStyle name="Normal 19 3 4" xfId="2522" xr:uid="{00000000-0005-0000-0000-000034080000}"/>
    <cellStyle name="Normal 19 3 4 2" xfId="6768" xr:uid="{00000000-0005-0000-0000-000035080000}"/>
    <cellStyle name="Normal 19 3 5" xfId="4646" xr:uid="{00000000-0005-0000-0000-000036080000}"/>
    <cellStyle name="Normal 19 4" xfId="666" xr:uid="{00000000-0005-0000-0000-000037080000}"/>
    <cellStyle name="Normal 19 4 2" xfId="1725" xr:uid="{00000000-0005-0000-0000-000038080000}"/>
    <cellStyle name="Normal 19 4 2 2" xfId="3847" xr:uid="{00000000-0005-0000-0000-000039080000}"/>
    <cellStyle name="Normal 19 4 2 2 2" xfId="8093" xr:uid="{00000000-0005-0000-0000-00003A080000}"/>
    <cellStyle name="Normal 19 4 2 3" xfId="5971" xr:uid="{00000000-0005-0000-0000-00003B080000}"/>
    <cellStyle name="Normal 19 4 3" xfId="2788" xr:uid="{00000000-0005-0000-0000-00003C080000}"/>
    <cellStyle name="Normal 19 4 3 2" xfId="7034" xr:uid="{00000000-0005-0000-0000-00003D080000}"/>
    <cellStyle name="Normal 19 4 4" xfId="4912" xr:uid="{00000000-0005-0000-0000-00003E080000}"/>
    <cellStyle name="Normal 19 5" xfId="1196" xr:uid="{00000000-0005-0000-0000-00003F080000}"/>
    <cellStyle name="Normal 19 5 2" xfId="3318" xr:uid="{00000000-0005-0000-0000-000040080000}"/>
    <cellStyle name="Normal 19 5 2 2" xfId="7564" xr:uid="{00000000-0005-0000-0000-000041080000}"/>
    <cellStyle name="Normal 19 5 3" xfId="5442" xr:uid="{00000000-0005-0000-0000-000042080000}"/>
    <cellStyle name="Normal 19 6" xfId="2259" xr:uid="{00000000-0005-0000-0000-000043080000}"/>
    <cellStyle name="Normal 19 6 2" xfId="6505" xr:uid="{00000000-0005-0000-0000-000044080000}"/>
    <cellStyle name="Normal 19 7" xfId="4383" xr:uid="{00000000-0005-0000-0000-000045080000}"/>
    <cellStyle name="Normal 2" xfId="2" xr:uid="{00000000-0005-0000-0000-000046080000}"/>
    <cellStyle name="Normal 2 10" xfId="1067" xr:uid="{00000000-0005-0000-0000-000047080000}"/>
    <cellStyle name="Normal 2 10 2" xfId="3189" xr:uid="{00000000-0005-0000-0000-000048080000}"/>
    <cellStyle name="Normal 2 10 2 2" xfId="7435" xr:uid="{00000000-0005-0000-0000-000049080000}"/>
    <cellStyle name="Normal 2 10 3" xfId="5313" xr:uid="{00000000-0005-0000-0000-00004A080000}"/>
    <cellStyle name="Normal 2 11" xfId="2130" xr:uid="{00000000-0005-0000-0000-00004B080000}"/>
    <cellStyle name="Normal 2 11 2" xfId="6376" xr:uid="{00000000-0005-0000-0000-00004C080000}"/>
    <cellStyle name="Normal 2 12" xfId="4254" xr:uid="{00000000-0005-0000-0000-00004D080000}"/>
    <cellStyle name="Normal 2 2" xfId="5" xr:uid="{00000000-0005-0000-0000-00004E080000}"/>
    <cellStyle name="Normal 2 2 2" xfId="543" xr:uid="{00000000-0005-0000-0000-00004F080000}"/>
    <cellStyle name="Normal 2 2 2 2" xfId="1602" xr:uid="{00000000-0005-0000-0000-000050080000}"/>
    <cellStyle name="Normal 2 2 2 2 2" xfId="3724" xr:uid="{00000000-0005-0000-0000-000051080000}"/>
    <cellStyle name="Normal 2 2 2 2 2 2" xfId="7970" xr:uid="{00000000-0005-0000-0000-000052080000}"/>
    <cellStyle name="Normal 2 2 2 2 2 2 2" xfId="8532" xr:uid="{00000000-0005-0000-0000-000053080000}"/>
    <cellStyle name="Normal 2 2 2 2 2 2 2 2" xfId="8603" xr:uid="{00000000-0005-0000-0000-000054080000}"/>
    <cellStyle name="Normal 2 2 2 2 2 2 2 2 2" xfId="8607" xr:uid="{00000000-0005-0000-0000-000055080000}"/>
    <cellStyle name="Normal 2 2 2 2 2 2 3" xfId="8568" xr:uid="{00000000-0005-0000-0000-000056080000}"/>
    <cellStyle name="Normal 2 2 2 2 2 3" xfId="8515" xr:uid="{00000000-0005-0000-0000-000057080000}"/>
    <cellStyle name="Normal 2 2 2 2 2 3 2" xfId="8586" xr:uid="{00000000-0005-0000-0000-000058080000}"/>
    <cellStyle name="Normal 2 2 2 2 2 4" xfId="8551" xr:uid="{00000000-0005-0000-0000-000059080000}"/>
    <cellStyle name="Normal 2 2 2 2 3" xfId="5848" xr:uid="{00000000-0005-0000-0000-00005A080000}"/>
    <cellStyle name="Normal 2 2 2 2 3 2" xfId="8524" xr:uid="{00000000-0005-0000-0000-00005B080000}"/>
    <cellStyle name="Normal 2 2 2 2 3 2 2" xfId="8595" xr:uid="{00000000-0005-0000-0000-00005C080000}"/>
    <cellStyle name="Normal 2 2 2 2 3 3" xfId="8560" xr:uid="{00000000-0005-0000-0000-00005D080000}"/>
    <cellStyle name="Normal 2 2 2 2 4" xfId="8506" xr:uid="{00000000-0005-0000-0000-00005E080000}"/>
    <cellStyle name="Normal 2 2 2 2 4 2" xfId="8577" xr:uid="{00000000-0005-0000-0000-00005F080000}"/>
    <cellStyle name="Normal 2 2 2 2 5" xfId="8543" xr:uid="{00000000-0005-0000-0000-000060080000}"/>
    <cellStyle name="Normal 2 2 2 3" xfId="2665" xr:uid="{00000000-0005-0000-0000-000061080000}"/>
    <cellStyle name="Normal 2 2 2 3 2" xfId="6911" xr:uid="{00000000-0005-0000-0000-000062080000}"/>
    <cellStyle name="Normal 2 2 2 3 2 2" xfId="8528" xr:uid="{00000000-0005-0000-0000-000063080000}"/>
    <cellStyle name="Normal 2 2 2 3 2 2 2" xfId="8599" xr:uid="{00000000-0005-0000-0000-000064080000}"/>
    <cellStyle name="Normal 2 2 2 3 2 3" xfId="8564" xr:uid="{00000000-0005-0000-0000-000065080000}"/>
    <cellStyle name="Normal 2 2 2 3 3" xfId="8511" xr:uid="{00000000-0005-0000-0000-000066080000}"/>
    <cellStyle name="Normal 2 2 2 3 3 2" xfId="8582" xr:uid="{00000000-0005-0000-0000-000067080000}"/>
    <cellStyle name="Normal 2 2 2 3 4" xfId="8547" xr:uid="{00000000-0005-0000-0000-000068080000}"/>
    <cellStyle name="Normal 2 2 2 4" xfId="4789" xr:uid="{00000000-0005-0000-0000-000069080000}"/>
    <cellStyle name="Normal 2 2 2 4 2" xfId="8520" xr:uid="{00000000-0005-0000-0000-00006A080000}"/>
    <cellStyle name="Normal 2 2 2 4 2 2" xfId="8591" xr:uid="{00000000-0005-0000-0000-00006B080000}"/>
    <cellStyle name="Normal 2 2 2 4 3" xfId="8556" xr:uid="{00000000-0005-0000-0000-00006C080000}"/>
    <cellStyle name="Normal 2 2 2 5" xfId="8502" xr:uid="{00000000-0005-0000-0000-00006D080000}"/>
    <cellStyle name="Normal 2 2 2 5 2" xfId="8573" xr:uid="{00000000-0005-0000-0000-00006E080000}"/>
    <cellStyle name="Normal 2 2 2 6" xfId="8539" xr:uid="{00000000-0005-0000-0000-00006F080000}"/>
    <cellStyle name="Normal 2 2 3" xfId="1073" xr:uid="{00000000-0005-0000-0000-000070080000}"/>
    <cellStyle name="Normal 2 2 3 2" xfId="3195" xr:uid="{00000000-0005-0000-0000-000071080000}"/>
    <cellStyle name="Normal 2 2 3 2 2" xfId="7441" xr:uid="{00000000-0005-0000-0000-000072080000}"/>
    <cellStyle name="Normal 2 2 3 2 2 2" xfId="8530" xr:uid="{00000000-0005-0000-0000-000073080000}"/>
    <cellStyle name="Normal 2 2 3 2 2 2 2" xfId="8601" xr:uid="{00000000-0005-0000-0000-000074080000}"/>
    <cellStyle name="Normal 2 2 3 2 2 3" xfId="8566" xr:uid="{00000000-0005-0000-0000-000075080000}"/>
    <cellStyle name="Normal 2 2 3 2 3" xfId="8513" xr:uid="{00000000-0005-0000-0000-000076080000}"/>
    <cellStyle name="Normal 2 2 3 2 3 2" xfId="8584" xr:uid="{00000000-0005-0000-0000-000077080000}"/>
    <cellStyle name="Normal 2 2 3 2 4" xfId="8549" xr:uid="{00000000-0005-0000-0000-000078080000}"/>
    <cellStyle name="Normal 2 2 3 3" xfId="5319" xr:uid="{00000000-0005-0000-0000-000079080000}"/>
    <cellStyle name="Normal 2 2 3 3 2" xfId="8522" xr:uid="{00000000-0005-0000-0000-00007A080000}"/>
    <cellStyle name="Normal 2 2 3 3 2 2" xfId="8593" xr:uid="{00000000-0005-0000-0000-00007B080000}"/>
    <cellStyle name="Normal 2 2 3 3 3" xfId="8558" xr:uid="{00000000-0005-0000-0000-00007C080000}"/>
    <cellStyle name="Normal 2 2 3 4" xfId="8504" xr:uid="{00000000-0005-0000-0000-00007D080000}"/>
    <cellStyle name="Normal 2 2 3 4 2" xfId="8575" xr:uid="{00000000-0005-0000-0000-00007E080000}"/>
    <cellStyle name="Normal 2 2 3 5" xfId="8541" xr:uid="{00000000-0005-0000-0000-00007F080000}"/>
    <cellStyle name="Normal 2 2 4" xfId="2136" xr:uid="{00000000-0005-0000-0000-000080080000}"/>
    <cellStyle name="Normal 2 2 4 2" xfId="6382" xr:uid="{00000000-0005-0000-0000-000081080000}"/>
    <cellStyle name="Normal 2 2 4 2 2" xfId="8526" xr:uid="{00000000-0005-0000-0000-000082080000}"/>
    <cellStyle name="Normal 2 2 4 2 2 2" xfId="8597" xr:uid="{00000000-0005-0000-0000-000083080000}"/>
    <cellStyle name="Normal 2 2 4 2 3" xfId="8562" xr:uid="{00000000-0005-0000-0000-000084080000}"/>
    <cellStyle name="Normal 2 2 4 3" xfId="8509" xr:uid="{00000000-0005-0000-0000-000085080000}"/>
    <cellStyle name="Normal 2 2 4 3 2" xfId="8580" xr:uid="{00000000-0005-0000-0000-000086080000}"/>
    <cellStyle name="Normal 2 2 4 4" xfId="8545" xr:uid="{00000000-0005-0000-0000-000087080000}"/>
    <cellStyle name="Normal 2 2 5" xfId="4260" xr:uid="{00000000-0005-0000-0000-000088080000}"/>
    <cellStyle name="Normal 2 2 5 2" xfId="8518" xr:uid="{00000000-0005-0000-0000-000089080000}"/>
    <cellStyle name="Normal 2 2 5 2 2" xfId="8589" xr:uid="{00000000-0005-0000-0000-00008A080000}"/>
    <cellStyle name="Normal 2 2 5 3" xfId="8554" xr:uid="{00000000-0005-0000-0000-00008B080000}"/>
    <cellStyle name="Normal 2 2 6" xfId="8500" xr:uid="{00000000-0005-0000-0000-00008C080000}"/>
    <cellStyle name="Normal 2 2 6 2" xfId="8571" xr:uid="{00000000-0005-0000-0000-00008D080000}"/>
    <cellStyle name="Normal 2 2 7" xfId="8537" xr:uid="{00000000-0005-0000-0000-00008E080000}"/>
    <cellStyle name="Normal 2 2 8" xfId="12" xr:uid="{00000000-0005-0000-0000-00008F080000}"/>
    <cellStyle name="Normal 2 3" xfId="18" xr:uid="{00000000-0005-0000-0000-000090080000}"/>
    <cellStyle name="Normal 2 3 10" xfId="4266" xr:uid="{00000000-0005-0000-0000-000091080000}"/>
    <cellStyle name="Normal 2 3 2" xfId="39" xr:uid="{00000000-0005-0000-0000-000092080000}"/>
    <cellStyle name="Normal 2 3 2 2" xfId="125" xr:uid="{00000000-0005-0000-0000-000093080000}"/>
    <cellStyle name="Normal 2 3 2 2 2" xfId="256" xr:uid="{00000000-0005-0000-0000-000094080000}"/>
    <cellStyle name="Normal 2 3 2 2 2 2" xfId="519" xr:uid="{00000000-0005-0000-0000-000095080000}"/>
    <cellStyle name="Normal 2 3 2 2 2 2 2" xfId="1049" xr:uid="{00000000-0005-0000-0000-000096080000}"/>
    <cellStyle name="Normal 2 3 2 2 2 2 2 2" xfId="2108" xr:uid="{00000000-0005-0000-0000-000097080000}"/>
    <cellStyle name="Normal 2 3 2 2 2 2 2 2 2" xfId="4230" xr:uid="{00000000-0005-0000-0000-000098080000}"/>
    <cellStyle name="Normal 2 3 2 2 2 2 2 2 2 2" xfId="8476" xr:uid="{00000000-0005-0000-0000-000099080000}"/>
    <cellStyle name="Normal 2 3 2 2 2 2 2 2 3" xfId="6354" xr:uid="{00000000-0005-0000-0000-00009A080000}"/>
    <cellStyle name="Normal 2 3 2 2 2 2 2 3" xfId="3171" xr:uid="{00000000-0005-0000-0000-00009B080000}"/>
    <cellStyle name="Normal 2 3 2 2 2 2 2 3 2" xfId="7417" xr:uid="{00000000-0005-0000-0000-00009C080000}"/>
    <cellStyle name="Normal 2 3 2 2 2 2 2 4" xfId="5295" xr:uid="{00000000-0005-0000-0000-00009D080000}"/>
    <cellStyle name="Normal 2 3 2 2 2 2 3" xfId="1579" xr:uid="{00000000-0005-0000-0000-00009E080000}"/>
    <cellStyle name="Normal 2 3 2 2 2 2 3 2" xfId="3701" xr:uid="{00000000-0005-0000-0000-00009F080000}"/>
    <cellStyle name="Normal 2 3 2 2 2 2 3 2 2" xfId="7947" xr:uid="{00000000-0005-0000-0000-0000A0080000}"/>
    <cellStyle name="Normal 2 3 2 2 2 2 3 3" xfId="5825" xr:uid="{00000000-0005-0000-0000-0000A1080000}"/>
    <cellStyle name="Normal 2 3 2 2 2 2 4" xfId="2642" xr:uid="{00000000-0005-0000-0000-0000A2080000}"/>
    <cellStyle name="Normal 2 3 2 2 2 2 4 2" xfId="6888" xr:uid="{00000000-0005-0000-0000-0000A3080000}"/>
    <cellStyle name="Normal 2 3 2 2 2 2 5" xfId="4766" xr:uid="{00000000-0005-0000-0000-0000A4080000}"/>
    <cellStyle name="Normal 2 3 2 2 2 3" xfId="786" xr:uid="{00000000-0005-0000-0000-0000A5080000}"/>
    <cellStyle name="Normal 2 3 2 2 2 3 2" xfId="1845" xr:uid="{00000000-0005-0000-0000-0000A6080000}"/>
    <cellStyle name="Normal 2 3 2 2 2 3 2 2" xfId="3967" xr:uid="{00000000-0005-0000-0000-0000A7080000}"/>
    <cellStyle name="Normal 2 3 2 2 2 3 2 2 2" xfId="8213" xr:uid="{00000000-0005-0000-0000-0000A8080000}"/>
    <cellStyle name="Normal 2 3 2 2 2 3 2 3" xfId="6091" xr:uid="{00000000-0005-0000-0000-0000A9080000}"/>
    <cellStyle name="Normal 2 3 2 2 2 3 3" xfId="2908" xr:uid="{00000000-0005-0000-0000-0000AA080000}"/>
    <cellStyle name="Normal 2 3 2 2 2 3 3 2" xfId="7154" xr:uid="{00000000-0005-0000-0000-0000AB080000}"/>
    <cellStyle name="Normal 2 3 2 2 2 3 4" xfId="5032" xr:uid="{00000000-0005-0000-0000-0000AC080000}"/>
    <cellStyle name="Normal 2 3 2 2 2 4" xfId="1316" xr:uid="{00000000-0005-0000-0000-0000AD080000}"/>
    <cellStyle name="Normal 2 3 2 2 2 4 2" xfId="3438" xr:uid="{00000000-0005-0000-0000-0000AE080000}"/>
    <cellStyle name="Normal 2 3 2 2 2 4 2 2" xfId="7684" xr:uid="{00000000-0005-0000-0000-0000AF080000}"/>
    <cellStyle name="Normal 2 3 2 2 2 4 3" xfId="5562" xr:uid="{00000000-0005-0000-0000-0000B0080000}"/>
    <cellStyle name="Normal 2 3 2 2 2 5" xfId="2379" xr:uid="{00000000-0005-0000-0000-0000B1080000}"/>
    <cellStyle name="Normal 2 3 2 2 2 5 2" xfId="6625" xr:uid="{00000000-0005-0000-0000-0000B2080000}"/>
    <cellStyle name="Normal 2 3 2 2 2 6" xfId="4503" xr:uid="{00000000-0005-0000-0000-0000B3080000}"/>
    <cellStyle name="Normal 2 3 2 2 3" xfId="388" xr:uid="{00000000-0005-0000-0000-0000B4080000}"/>
    <cellStyle name="Normal 2 3 2 2 3 2" xfId="918" xr:uid="{00000000-0005-0000-0000-0000B5080000}"/>
    <cellStyle name="Normal 2 3 2 2 3 2 2" xfId="1977" xr:uid="{00000000-0005-0000-0000-0000B6080000}"/>
    <cellStyle name="Normal 2 3 2 2 3 2 2 2" xfId="4099" xr:uid="{00000000-0005-0000-0000-0000B7080000}"/>
    <cellStyle name="Normal 2 3 2 2 3 2 2 2 2" xfId="8345" xr:uid="{00000000-0005-0000-0000-0000B8080000}"/>
    <cellStyle name="Normal 2 3 2 2 3 2 2 3" xfId="6223" xr:uid="{00000000-0005-0000-0000-0000B9080000}"/>
    <cellStyle name="Normal 2 3 2 2 3 2 3" xfId="3040" xr:uid="{00000000-0005-0000-0000-0000BA080000}"/>
    <cellStyle name="Normal 2 3 2 2 3 2 3 2" xfId="7286" xr:uid="{00000000-0005-0000-0000-0000BB080000}"/>
    <cellStyle name="Normal 2 3 2 2 3 2 4" xfId="5164" xr:uid="{00000000-0005-0000-0000-0000BC080000}"/>
    <cellStyle name="Normal 2 3 2 2 3 3" xfId="1448" xr:uid="{00000000-0005-0000-0000-0000BD080000}"/>
    <cellStyle name="Normal 2 3 2 2 3 3 2" xfId="3570" xr:uid="{00000000-0005-0000-0000-0000BE080000}"/>
    <cellStyle name="Normal 2 3 2 2 3 3 2 2" xfId="7816" xr:uid="{00000000-0005-0000-0000-0000BF080000}"/>
    <cellStyle name="Normal 2 3 2 2 3 3 3" xfId="5694" xr:uid="{00000000-0005-0000-0000-0000C0080000}"/>
    <cellStyle name="Normal 2 3 2 2 3 4" xfId="2511" xr:uid="{00000000-0005-0000-0000-0000C1080000}"/>
    <cellStyle name="Normal 2 3 2 2 3 4 2" xfId="6757" xr:uid="{00000000-0005-0000-0000-0000C2080000}"/>
    <cellStyle name="Normal 2 3 2 2 3 5" xfId="4635" xr:uid="{00000000-0005-0000-0000-0000C3080000}"/>
    <cellStyle name="Normal 2 3 2 2 4" xfId="655" xr:uid="{00000000-0005-0000-0000-0000C4080000}"/>
    <cellStyle name="Normal 2 3 2 2 4 2" xfId="1714" xr:uid="{00000000-0005-0000-0000-0000C5080000}"/>
    <cellStyle name="Normal 2 3 2 2 4 2 2" xfId="3836" xr:uid="{00000000-0005-0000-0000-0000C6080000}"/>
    <cellStyle name="Normal 2 3 2 2 4 2 2 2" xfId="8082" xr:uid="{00000000-0005-0000-0000-0000C7080000}"/>
    <cellStyle name="Normal 2 3 2 2 4 2 3" xfId="5960" xr:uid="{00000000-0005-0000-0000-0000C8080000}"/>
    <cellStyle name="Normal 2 3 2 2 4 3" xfId="2777" xr:uid="{00000000-0005-0000-0000-0000C9080000}"/>
    <cellStyle name="Normal 2 3 2 2 4 3 2" xfId="7023" xr:uid="{00000000-0005-0000-0000-0000CA080000}"/>
    <cellStyle name="Normal 2 3 2 2 4 4" xfId="4901" xr:uid="{00000000-0005-0000-0000-0000CB080000}"/>
    <cellStyle name="Normal 2 3 2 2 5" xfId="1185" xr:uid="{00000000-0005-0000-0000-0000CC080000}"/>
    <cellStyle name="Normal 2 3 2 2 5 2" xfId="3307" xr:uid="{00000000-0005-0000-0000-0000CD080000}"/>
    <cellStyle name="Normal 2 3 2 2 5 2 2" xfId="7553" xr:uid="{00000000-0005-0000-0000-0000CE080000}"/>
    <cellStyle name="Normal 2 3 2 2 5 3" xfId="5431" xr:uid="{00000000-0005-0000-0000-0000CF080000}"/>
    <cellStyle name="Normal 2 3 2 2 6" xfId="2248" xr:uid="{00000000-0005-0000-0000-0000D0080000}"/>
    <cellStyle name="Normal 2 3 2 2 6 2" xfId="6494" xr:uid="{00000000-0005-0000-0000-0000D1080000}"/>
    <cellStyle name="Normal 2 3 2 2 7" xfId="4372" xr:uid="{00000000-0005-0000-0000-0000D2080000}"/>
    <cellStyle name="Normal 2 3 2 3" xfId="82" xr:uid="{00000000-0005-0000-0000-0000D3080000}"/>
    <cellStyle name="Normal 2 3 2 3 2" xfId="214" xr:uid="{00000000-0005-0000-0000-0000D4080000}"/>
    <cellStyle name="Normal 2 3 2 3 2 2" xfId="477" xr:uid="{00000000-0005-0000-0000-0000D5080000}"/>
    <cellStyle name="Normal 2 3 2 3 2 2 2" xfId="1007" xr:uid="{00000000-0005-0000-0000-0000D6080000}"/>
    <cellStyle name="Normal 2 3 2 3 2 2 2 2" xfId="2066" xr:uid="{00000000-0005-0000-0000-0000D7080000}"/>
    <cellStyle name="Normal 2 3 2 3 2 2 2 2 2" xfId="4188" xr:uid="{00000000-0005-0000-0000-0000D8080000}"/>
    <cellStyle name="Normal 2 3 2 3 2 2 2 2 2 2" xfId="8434" xr:uid="{00000000-0005-0000-0000-0000D9080000}"/>
    <cellStyle name="Normal 2 3 2 3 2 2 2 2 3" xfId="6312" xr:uid="{00000000-0005-0000-0000-0000DA080000}"/>
    <cellStyle name="Normal 2 3 2 3 2 2 2 3" xfId="3129" xr:uid="{00000000-0005-0000-0000-0000DB080000}"/>
    <cellStyle name="Normal 2 3 2 3 2 2 2 3 2" xfId="7375" xr:uid="{00000000-0005-0000-0000-0000DC080000}"/>
    <cellStyle name="Normal 2 3 2 3 2 2 2 4" xfId="5253" xr:uid="{00000000-0005-0000-0000-0000DD080000}"/>
    <cellStyle name="Normal 2 3 2 3 2 2 3" xfId="1537" xr:uid="{00000000-0005-0000-0000-0000DE080000}"/>
    <cellStyle name="Normal 2 3 2 3 2 2 3 2" xfId="3659" xr:uid="{00000000-0005-0000-0000-0000DF080000}"/>
    <cellStyle name="Normal 2 3 2 3 2 2 3 2 2" xfId="7905" xr:uid="{00000000-0005-0000-0000-0000E0080000}"/>
    <cellStyle name="Normal 2 3 2 3 2 2 3 3" xfId="5783" xr:uid="{00000000-0005-0000-0000-0000E1080000}"/>
    <cellStyle name="Normal 2 3 2 3 2 2 4" xfId="2600" xr:uid="{00000000-0005-0000-0000-0000E2080000}"/>
    <cellStyle name="Normal 2 3 2 3 2 2 4 2" xfId="6846" xr:uid="{00000000-0005-0000-0000-0000E3080000}"/>
    <cellStyle name="Normal 2 3 2 3 2 2 5" xfId="4724" xr:uid="{00000000-0005-0000-0000-0000E4080000}"/>
    <cellStyle name="Normal 2 3 2 3 2 3" xfId="744" xr:uid="{00000000-0005-0000-0000-0000E5080000}"/>
    <cellStyle name="Normal 2 3 2 3 2 3 2" xfId="1803" xr:uid="{00000000-0005-0000-0000-0000E6080000}"/>
    <cellStyle name="Normal 2 3 2 3 2 3 2 2" xfId="3925" xr:uid="{00000000-0005-0000-0000-0000E7080000}"/>
    <cellStyle name="Normal 2 3 2 3 2 3 2 2 2" xfId="8171" xr:uid="{00000000-0005-0000-0000-0000E8080000}"/>
    <cellStyle name="Normal 2 3 2 3 2 3 2 3" xfId="6049" xr:uid="{00000000-0005-0000-0000-0000E9080000}"/>
    <cellStyle name="Normal 2 3 2 3 2 3 3" xfId="2866" xr:uid="{00000000-0005-0000-0000-0000EA080000}"/>
    <cellStyle name="Normal 2 3 2 3 2 3 3 2" xfId="7112" xr:uid="{00000000-0005-0000-0000-0000EB080000}"/>
    <cellStyle name="Normal 2 3 2 3 2 3 4" xfId="4990" xr:uid="{00000000-0005-0000-0000-0000EC080000}"/>
    <cellStyle name="Normal 2 3 2 3 2 4" xfId="1274" xr:uid="{00000000-0005-0000-0000-0000ED080000}"/>
    <cellStyle name="Normal 2 3 2 3 2 4 2" xfId="3396" xr:uid="{00000000-0005-0000-0000-0000EE080000}"/>
    <cellStyle name="Normal 2 3 2 3 2 4 2 2" xfId="7642" xr:uid="{00000000-0005-0000-0000-0000EF080000}"/>
    <cellStyle name="Normal 2 3 2 3 2 4 3" xfId="5520" xr:uid="{00000000-0005-0000-0000-0000F0080000}"/>
    <cellStyle name="Normal 2 3 2 3 2 5" xfId="2337" xr:uid="{00000000-0005-0000-0000-0000F1080000}"/>
    <cellStyle name="Normal 2 3 2 3 2 5 2" xfId="6583" xr:uid="{00000000-0005-0000-0000-0000F2080000}"/>
    <cellStyle name="Normal 2 3 2 3 2 6" xfId="4461" xr:uid="{00000000-0005-0000-0000-0000F3080000}"/>
    <cellStyle name="Normal 2 3 2 3 3" xfId="346" xr:uid="{00000000-0005-0000-0000-0000F4080000}"/>
    <cellStyle name="Normal 2 3 2 3 3 2" xfId="876" xr:uid="{00000000-0005-0000-0000-0000F5080000}"/>
    <cellStyle name="Normal 2 3 2 3 3 2 2" xfId="1935" xr:uid="{00000000-0005-0000-0000-0000F6080000}"/>
    <cellStyle name="Normal 2 3 2 3 3 2 2 2" xfId="4057" xr:uid="{00000000-0005-0000-0000-0000F7080000}"/>
    <cellStyle name="Normal 2 3 2 3 3 2 2 2 2" xfId="8303" xr:uid="{00000000-0005-0000-0000-0000F8080000}"/>
    <cellStyle name="Normal 2 3 2 3 3 2 2 3" xfId="6181" xr:uid="{00000000-0005-0000-0000-0000F9080000}"/>
    <cellStyle name="Normal 2 3 2 3 3 2 3" xfId="2998" xr:uid="{00000000-0005-0000-0000-0000FA080000}"/>
    <cellStyle name="Normal 2 3 2 3 3 2 3 2" xfId="7244" xr:uid="{00000000-0005-0000-0000-0000FB080000}"/>
    <cellStyle name="Normal 2 3 2 3 3 2 4" xfId="5122" xr:uid="{00000000-0005-0000-0000-0000FC080000}"/>
    <cellStyle name="Normal 2 3 2 3 3 3" xfId="1406" xr:uid="{00000000-0005-0000-0000-0000FD080000}"/>
    <cellStyle name="Normal 2 3 2 3 3 3 2" xfId="3528" xr:uid="{00000000-0005-0000-0000-0000FE080000}"/>
    <cellStyle name="Normal 2 3 2 3 3 3 2 2" xfId="7774" xr:uid="{00000000-0005-0000-0000-0000FF080000}"/>
    <cellStyle name="Normal 2 3 2 3 3 3 3" xfId="5652" xr:uid="{00000000-0005-0000-0000-000000090000}"/>
    <cellStyle name="Normal 2 3 2 3 3 4" xfId="2469" xr:uid="{00000000-0005-0000-0000-000001090000}"/>
    <cellStyle name="Normal 2 3 2 3 3 4 2" xfId="6715" xr:uid="{00000000-0005-0000-0000-000002090000}"/>
    <cellStyle name="Normal 2 3 2 3 3 5" xfId="4593" xr:uid="{00000000-0005-0000-0000-000003090000}"/>
    <cellStyle name="Normal 2 3 2 3 4" xfId="613" xr:uid="{00000000-0005-0000-0000-000004090000}"/>
    <cellStyle name="Normal 2 3 2 3 4 2" xfId="1672" xr:uid="{00000000-0005-0000-0000-000005090000}"/>
    <cellStyle name="Normal 2 3 2 3 4 2 2" xfId="3794" xr:uid="{00000000-0005-0000-0000-000006090000}"/>
    <cellStyle name="Normal 2 3 2 3 4 2 2 2" xfId="8040" xr:uid="{00000000-0005-0000-0000-000007090000}"/>
    <cellStyle name="Normal 2 3 2 3 4 2 3" xfId="5918" xr:uid="{00000000-0005-0000-0000-000008090000}"/>
    <cellStyle name="Normal 2 3 2 3 4 3" xfId="2735" xr:uid="{00000000-0005-0000-0000-000009090000}"/>
    <cellStyle name="Normal 2 3 2 3 4 3 2" xfId="6981" xr:uid="{00000000-0005-0000-0000-00000A090000}"/>
    <cellStyle name="Normal 2 3 2 3 4 4" xfId="4859" xr:uid="{00000000-0005-0000-0000-00000B090000}"/>
    <cellStyle name="Normal 2 3 2 3 5" xfId="1143" xr:uid="{00000000-0005-0000-0000-00000C090000}"/>
    <cellStyle name="Normal 2 3 2 3 5 2" xfId="3265" xr:uid="{00000000-0005-0000-0000-00000D090000}"/>
    <cellStyle name="Normal 2 3 2 3 5 2 2" xfId="7511" xr:uid="{00000000-0005-0000-0000-00000E090000}"/>
    <cellStyle name="Normal 2 3 2 3 5 3" xfId="5389" xr:uid="{00000000-0005-0000-0000-00000F090000}"/>
    <cellStyle name="Normal 2 3 2 3 6" xfId="2206" xr:uid="{00000000-0005-0000-0000-000010090000}"/>
    <cellStyle name="Normal 2 3 2 3 6 2" xfId="6452" xr:uid="{00000000-0005-0000-0000-000011090000}"/>
    <cellStyle name="Normal 2 3 2 3 7" xfId="4330" xr:uid="{00000000-0005-0000-0000-000012090000}"/>
    <cellStyle name="Normal 2 3 2 4" xfId="171" xr:uid="{00000000-0005-0000-0000-000013090000}"/>
    <cellStyle name="Normal 2 3 2 4 2" xfId="434" xr:uid="{00000000-0005-0000-0000-000014090000}"/>
    <cellStyle name="Normal 2 3 2 4 2 2" xfId="964" xr:uid="{00000000-0005-0000-0000-000015090000}"/>
    <cellStyle name="Normal 2 3 2 4 2 2 2" xfId="2023" xr:uid="{00000000-0005-0000-0000-000016090000}"/>
    <cellStyle name="Normal 2 3 2 4 2 2 2 2" xfId="4145" xr:uid="{00000000-0005-0000-0000-000017090000}"/>
    <cellStyle name="Normal 2 3 2 4 2 2 2 2 2" xfId="8391" xr:uid="{00000000-0005-0000-0000-000018090000}"/>
    <cellStyle name="Normal 2 3 2 4 2 2 2 3" xfId="6269" xr:uid="{00000000-0005-0000-0000-000019090000}"/>
    <cellStyle name="Normal 2 3 2 4 2 2 3" xfId="3086" xr:uid="{00000000-0005-0000-0000-00001A090000}"/>
    <cellStyle name="Normal 2 3 2 4 2 2 3 2" xfId="7332" xr:uid="{00000000-0005-0000-0000-00001B090000}"/>
    <cellStyle name="Normal 2 3 2 4 2 2 4" xfId="5210" xr:uid="{00000000-0005-0000-0000-00001C090000}"/>
    <cellStyle name="Normal 2 3 2 4 2 3" xfId="1494" xr:uid="{00000000-0005-0000-0000-00001D090000}"/>
    <cellStyle name="Normal 2 3 2 4 2 3 2" xfId="3616" xr:uid="{00000000-0005-0000-0000-00001E090000}"/>
    <cellStyle name="Normal 2 3 2 4 2 3 2 2" xfId="7862" xr:uid="{00000000-0005-0000-0000-00001F090000}"/>
    <cellStyle name="Normal 2 3 2 4 2 3 3" xfId="5740" xr:uid="{00000000-0005-0000-0000-000020090000}"/>
    <cellStyle name="Normal 2 3 2 4 2 4" xfId="2557" xr:uid="{00000000-0005-0000-0000-000021090000}"/>
    <cellStyle name="Normal 2 3 2 4 2 4 2" xfId="6803" xr:uid="{00000000-0005-0000-0000-000022090000}"/>
    <cellStyle name="Normal 2 3 2 4 2 5" xfId="4681" xr:uid="{00000000-0005-0000-0000-000023090000}"/>
    <cellStyle name="Normal 2 3 2 4 3" xfId="701" xr:uid="{00000000-0005-0000-0000-000024090000}"/>
    <cellStyle name="Normal 2 3 2 4 3 2" xfId="1760" xr:uid="{00000000-0005-0000-0000-000025090000}"/>
    <cellStyle name="Normal 2 3 2 4 3 2 2" xfId="3882" xr:uid="{00000000-0005-0000-0000-000026090000}"/>
    <cellStyle name="Normal 2 3 2 4 3 2 2 2" xfId="8128" xr:uid="{00000000-0005-0000-0000-000027090000}"/>
    <cellStyle name="Normal 2 3 2 4 3 2 3" xfId="6006" xr:uid="{00000000-0005-0000-0000-000028090000}"/>
    <cellStyle name="Normal 2 3 2 4 3 3" xfId="2823" xr:uid="{00000000-0005-0000-0000-000029090000}"/>
    <cellStyle name="Normal 2 3 2 4 3 3 2" xfId="7069" xr:uid="{00000000-0005-0000-0000-00002A090000}"/>
    <cellStyle name="Normal 2 3 2 4 3 4" xfId="4947" xr:uid="{00000000-0005-0000-0000-00002B090000}"/>
    <cellStyle name="Normal 2 3 2 4 4" xfId="1231" xr:uid="{00000000-0005-0000-0000-00002C090000}"/>
    <cellStyle name="Normal 2 3 2 4 4 2" xfId="3353" xr:uid="{00000000-0005-0000-0000-00002D090000}"/>
    <cellStyle name="Normal 2 3 2 4 4 2 2" xfId="7599" xr:uid="{00000000-0005-0000-0000-00002E090000}"/>
    <cellStyle name="Normal 2 3 2 4 4 3" xfId="5477" xr:uid="{00000000-0005-0000-0000-00002F090000}"/>
    <cellStyle name="Normal 2 3 2 4 5" xfId="2294" xr:uid="{00000000-0005-0000-0000-000030090000}"/>
    <cellStyle name="Normal 2 3 2 4 5 2" xfId="6540" xr:uid="{00000000-0005-0000-0000-000031090000}"/>
    <cellStyle name="Normal 2 3 2 4 6" xfId="4418" xr:uid="{00000000-0005-0000-0000-000032090000}"/>
    <cellStyle name="Normal 2 3 2 5" xfId="303" xr:uid="{00000000-0005-0000-0000-000033090000}"/>
    <cellStyle name="Normal 2 3 2 5 2" xfId="833" xr:uid="{00000000-0005-0000-0000-000034090000}"/>
    <cellStyle name="Normal 2 3 2 5 2 2" xfId="1892" xr:uid="{00000000-0005-0000-0000-000035090000}"/>
    <cellStyle name="Normal 2 3 2 5 2 2 2" xfId="4014" xr:uid="{00000000-0005-0000-0000-000036090000}"/>
    <cellStyle name="Normal 2 3 2 5 2 2 2 2" xfId="8260" xr:uid="{00000000-0005-0000-0000-000037090000}"/>
    <cellStyle name="Normal 2 3 2 5 2 2 3" xfId="6138" xr:uid="{00000000-0005-0000-0000-000038090000}"/>
    <cellStyle name="Normal 2 3 2 5 2 3" xfId="2955" xr:uid="{00000000-0005-0000-0000-000039090000}"/>
    <cellStyle name="Normal 2 3 2 5 2 3 2" xfId="7201" xr:uid="{00000000-0005-0000-0000-00003A090000}"/>
    <cellStyle name="Normal 2 3 2 5 2 4" xfId="5079" xr:uid="{00000000-0005-0000-0000-00003B090000}"/>
    <cellStyle name="Normal 2 3 2 5 3" xfId="1363" xr:uid="{00000000-0005-0000-0000-00003C090000}"/>
    <cellStyle name="Normal 2 3 2 5 3 2" xfId="3485" xr:uid="{00000000-0005-0000-0000-00003D090000}"/>
    <cellStyle name="Normal 2 3 2 5 3 2 2" xfId="7731" xr:uid="{00000000-0005-0000-0000-00003E090000}"/>
    <cellStyle name="Normal 2 3 2 5 3 3" xfId="5609" xr:uid="{00000000-0005-0000-0000-00003F090000}"/>
    <cellStyle name="Normal 2 3 2 5 4" xfId="2426" xr:uid="{00000000-0005-0000-0000-000040090000}"/>
    <cellStyle name="Normal 2 3 2 5 4 2" xfId="6672" xr:uid="{00000000-0005-0000-0000-000041090000}"/>
    <cellStyle name="Normal 2 3 2 5 5" xfId="4550" xr:uid="{00000000-0005-0000-0000-000042090000}"/>
    <cellStyle name="Normal 2 3 2 6" xfId="570" xr:uid="{00000000-0005-0000-0000-000043090000}"/>
    <cellStyle name="Normal 2 3 2 6 2" xfId="1629" xr:uid="{00000000-0005-0000-0000-000044090000}"/>
    <cellStyle name="Normal 2 3 2 6 2 2" xfId="3751" xr:uid="{00000000-0005-0000-0000-000045090000}"/>
    <cellStyle name="Normal 2 3 2 6 2 2 2" xfId="7997" xr:uid="{00000000-0005-0000-0000-000046090000}"/>
    <cellStyle name="Normal 2 3 2 6 2 3" xfId="5875" xr:uid="{00000000-0005-0000-0000-000047090000}"/>
    <cellStyle name="Normal 2 3 2 6 3" xfId="2692" xr:uid="{00000000-0005-0000-0000-000048090000}"/>
    <cellStyle name="Normal 2 3 2 6 3 2" xfId="6938" xr:uid="{00000000-0005-0000-0000-000049090000}"/>
    <cellStyle name="Normal 2 3 2 6 4" xfId="4816" xr:uid="{00000000-0005-0000-0000-00004A090000}"/>
    <cellStyle name="Normal 2 3 2 7" xfId="1100" xr:uid="{00000000-0005-0000-0000-00004B090000}"/>
    <cellStyle name="Normal 2 3 2 7 2" xfId="3222" xr:uid="{00000000-0005-0000-0000-00004C090000}"/>
    <cellStyle name="Normal 2 3 2 7 2 2" xfId="7468" xr:uid="{00000000-0005-0000-0000-00004D090000}"/>
    <cellStyle name="Normal 2 3 2 7 3" xfId="5346" xr:uid="{00000000-0005-0000-0000-00004E090000}"/>
    <cellStyle name="Normal 2 3 2 8" xfId="2163" xr:uid="{00000000-0005-0000-0000-00004F090000}"/>
    <cellStyle name="Normal 2 3 2 8 2" xfId="6409" xr:uid="{00000000-0005-0000-0000-000050090000}"/>
    <cellStyle name="Normal 2 3 2 9" xfId="4287" xr:uid="{00000000-0005-0000-0000-000051090000}"/>
    <cellStyle name="Normal 2 3 3" xfId="104" xr:uid="{00000000-0005-0000-0000-000052090000}"/>
    <cellStyle name="Normal 2 3 3 2" xfId="235" xr:uid="{00000000-0005-0000-0000-000053090000}"/>
    <cellStyle name="Normal 2 3 3 2 2" xfId="498" xr:uid="{00000000-0005-0000-0000-000054090000}"/>
    <cellStyle name="Normal 2 3 3 2 2 2" xfId="1028" xr:uid="{00000000-0005-0000-0000-000055090000}"/>
    <cellStyle name="Normal 2 3 3 2 2 2 2" xfId="2087" xr:uid="{00000000-0005-0000-0000-000056090000}"/>
    <cellStyle name="Normal 2 3 3 2 2 2 2 2" xfId="4209" xr:uid="{00000000-0005-0000-0000-000057090000}"/>
    <cellStyle name="Normal 2 3 3 2 2 2 2 2 2" xfId="8455" xr:uid="{00000000-0005-0000-0000-000058090000}"/>
    <cellStyle name="Normal 2 3 3 2 2 2 2 3" xfId="6333" xr:uid="{00000000-0005-0000-0000-000059090000}"/>
    <cellStyle name="Normal 2 3 3 2 2 2 3" xfId="3150" xr:uid="{00000000-0005-0000-0000-00005A090000}"/>
    <cellStyle name="Normal 2 3 3 2 2 2 3 2" xfId="7396" xr:uid="{00000000-0005-0000-0000-00005B090000}"/>
    <cellStyle name="Normal 2 3 3 2 2 2 4" xfId="5274" xr:uid="{00000000-0005-0000-0000-00005C090000}"/>
    <cellStyle name="Normal 2 3 3 2 2 3" xfId="1558" xr:uid="{00000000-0005-0000-0000-00005D090000}"/>
    <cellStyle name="Normal 2 3 3 2 2 3 2" xfId="3680" xr:uid="{00000000-0005-0000-0000-00005E090000}"/>
    <cellStyle name="Normal 2 3 3 2 2 3 2 2" xfId="7926" xr:uid="{00000000-0005-0000-0000-00005F090000}"/>
    <cellStyle name="Normal 2 3 3 2 2 3 3" xfId="5804" xr:uid="{00000000-0005-0000-0000-000060090000}"/>
    <cellStyle name="Normal 2 3 3 2 2 4" xfId="2621" xr:uid="{00000000-0005-0000-0000-000061090000}"/>
    <cellStyle name="Normal 2 3 3 2 2 4 2" xfId="6867" xr:uid="{00000000-0005-0000-0000-000062090000}"/>
    <cellStyle name="Normal 2 3 3 2 2 5" xfId="4745" xr:uid="{00000000-0005-0000-0000-000063090000}"/>
    <cellStyle name="Normal 2 3 3 2 3" xfId="765" xr:uid="{00000000-0005-0000-0000-000064090000}"/>
    <cellStyle name="Normal 2 3 3 2 3 2" xfId="1824" xr:uid="{00000000-0005-0000-0000-000065090000}"/>
    <cellStyle name="Normal 2 3 3 2 3 2 2" xfId="3946" xr:uid="{00000000-0005-0000-0000-000066090000}"/>
    <cellStyle name="Normal 2 3 3 2 3 2 2 2" xfId="8192" xr:uid="{00000000-0005-0000-0000-000067090000}"/>
    <cellStyle name="Normal 2 3 3 2 3 2 3" xfId="6070" xr:uid="{00000000-0005-0000-0000-000068090000}"/>
    <cellStyle name="Normal 2 3 3 2 3 3" xfId="2887" xr:uid="{00000000-0005-0000-0000-000069090000}"/>
    <cellStyle name="Normal 2 3 3 2 3 3 2" xfId="7133" xr:uid="{00000000-0005-0000-0000-00006A090000}"/>
    <cellStyle name="Normal 2 3 3 2 3 4" xfId="5011" xr:uid="{00000000-0005-0000-0000-00006B090000}"/>
    <cellStyle name="Normal 2 3 3 2 4" xfId="1295" xr:uid="{00000000-0005-0000-0000-00006C090000}"/>
    <cellStyle name="Normal 2 3 3 2 4 2" xfId="3417" xr:uid="{00000000-0005-0000-0000-00006D090000}"/>
    <cellStyle name="Normal 2 3 3 2 4 2 2" xfId="7663" xr:uid="{00000000-0005-0000-0000-00006E090000}"/>
    <cellStyle name="Normal 2 3 3 2 4 3" xfId="5541" xr:uid="{00000000-0005-0000-0000-00006F090000}"/>
    <cellStyle name="Normal 2 3 3 2 5" xfId="2358" xr:uid="{00000000-0005-0000-0000-000070090000}"/>
    <cellStyle name="Normal 2 3 3 2 5 2" xfId="6604" xr:uid="{00000000-0005-0000-0000-000071090000}"/>
    <cellStyle name="Normal 2 3 3 2 6" xfId="4482" xr:uid="{00000000-0005-0000-0000-000072090000}"/>
    <cellStyle name="Normal 2 3 3 3" xfId="367" xr:uid="{00000000-0005-0000-0000-000073090000}"/>
    <cellStyle name="Normal 2 3 3 3 2" xfId="897" xr:uid="{00000000-0005-0000-0000-000074090000}"/>
    <cellStyle name="Normal 2 3 3 3 2 2" xfId="1956" xr:uid="{00000000-0005-0000-0000-000075090000}"/>
    <cellStyle name="Normal 2 3 3 3 2 2 2" xfId="4078" xr:uid="{00000000-0005-0000-0000-000076090000}"/>
    <cellStyle name="Normal 2 3 3 3 2 2 2 2" xfId="8324" xr:uid="{00000000-0005-0000-0000-000077090000}"/>
    <cellStyle name="Normal 2 3 3 3 2 2 3" xfId="6202" xr:uid="{00000000-0005-0000-0000-000078090000}"/>
    <cellStyle name="Normal 2 3 3 3 2 3" xfId="3019" xr:uid="{00000000-0005-0000-0000-000079090000}"/>
    <cellStyle name="Normal 2 3 3 3 2 3 2" xfId="7265" xr:uid="{00000000-0005-0000-0000-00007A090000}"/>
    <cellStyle name="Normal 2 3 3 3 2 4" xfId="5143" xr:uid="{00000000-0005-0000-0000-00007B090000}"/>
    <cellStyle name="Normal 2 3 3 3 3" xfId="1427" xr:uid="{00000000-0005-0000-0000-00007C090000}"/>
    <cellStyle name="Normal 2 3 3 3 3 2" xfId="3549" xr:uid="{00000000-0005-0000-0000-00007D090000}"/>
    <cellStyle name="Normal 2 3 3 3 3 2 2" xfId="7795" xr:uid="{00000000-0005-0000-0000-00007E090000}"/>
    <cellStyle name="Normal 2 3 3 3 3 3" xfId="5673" xr:uid="{00000000-0005-0000-0000-00007F090000}"/>
    <cellStyle name="Normal 2 3 3 3 4" xfId="2490" xr:uid="{00000000-0005-0000-0000-000080090000}"/>
    <cellStyle name="Normal 2 3 3 3 4 2" xfId="6736" xr:uid="{00000000-0005-0000-0000-000081090000}"/>
    <cellStyle name="Normal 2 3 3 3 5" xfId="4614" xr:uid="{00000000-0005-0000-0000-000082090000}"/>
    <cellStyle name="Normal 2 3 3 4" xfId="634" xr:uid="{00000000-0005-0000-0000-000083090000}"/>
    <cellStyle name="Normal 2 3 3 4 2" xfId="1693" xr:uid="{00000000-0005-0000-0000-000084090000}"/>
    <cellStyle name="Normal 2 3 3 4 2 2" xfId="3815" xr:uid="{00000000-0005-0000-0000-000085090000}"/>
    <cellStyle name="Normal 2 3 3 4 2 2 2" xfId="8061" xr:uid="{00000000-0005-0000-0000-000086090000}"/>
    <cellStyle name="Normal 2 3 3 4 2 3" xfId="5939" xr:uid="{00000000-0005-0000-0000-000087090000}"/>
    <cellStyle name="Normal 2 3 3 4 3" xfId="2756" xr:uid="{00000000-0005-0000-0000-000088090000}"/>
    <cellStyle name="Normal 2 3 3 4 3 2" xfId="7002" xr:uid="{00000000-0005-0000-0000-000089090000}"/>
    <cellStyle name="Normal 2 3 3 4 4" xfId="4880" xr:uid="{00000000-0005-0000-0000-00008A090000}"/>
    <cellStyle name="Normal 2 3 3 5" xfId="1164" xr:uid="{00000000-0005-0000-0000-00008B090000}"/>
    <cellStyle name="Normal 2 3 3 5 2" xfId="3286" xr:uid="{00000000-0005-0000-0000-00008C090000}"/>
    <cellStyle name="Normal 2 3 3 5 2 2" xfId="7532" xr:uid="{00000000-0005-0000-0000-00008D090000}"/>
    <cellStyle name="Normal 2 3 3 5 3" xfId="5410" xr:uid="{00000000-0005-0000-0000-00008E090000}"/>
    <cellStyle name="Normal 2 3 3 6" xfId="2227" xr:uid="{00000000-0005-0000-0000-00008F090000}"/>
    <cellStyle name="Normal 2 3 3 6 2" xfId="6473" xr:uid="{00000000-0005-0000-0000-000090090000}"/>
    <cellStyle name="Normal 2 3 3 7" xfId="4351" xr:uid="{00000000-0005-0000-0000-000091090000}"/>
    <cellStyle name="Normal 2 3 4" xfId="61" xr:uid="{00000000-0005-0000-0000-000092090000}"/>
    <cellStyle name="Normal 2 3 4 2" xfId="193" xr:uid="{00000000-0005-0000-0000-000093090000}"/>
    <cellStyle name="Normal 2 3 4 2 2" xfId="456" xr:uid="{00000000-0005-0000-0000-000094090000}"/>
    <cellStyle name="Normal 2 3 4 2 2 2" xfId="986" xr:uid="{00000000-0005-0000-0000-000095090000}"/>
    <cellStyle name="Normal 2 3 4 2 2 2 2" xfId="2045" xr:uid="{00000000-0005-0000-0000-000096090000}"/>
    <cellStyle name="Normal 2 3 4 2 2 2 2 2" xfId="4167" xr:uid="{00000000-0005-0000-0000-000097090000}"/>
    <cellStyle name="Normal 2 3 4 2 2 2 2 2 2" xfId="8413" xr:uid="{00000000-0005-0000-0000-000098090000}"/>
    <cellStyle name="Normal 2 3 4 2 2 2 2 3" xfId="6291" xr:uid="{00000000-0005-0000-0000-000099090000}"/>
    <cellStyle name="Normal 2 3 4 2 2 2 3" xfId="3108" xr:uid="{00000000-0005-0000-0000-00009A090000}"/>
    <cellStyle name="Normal 2 3 4 2 2 2 3 2" xfId="7354" xr:uid="{00000000-0005-0000-0000-00009B090000}"/>
    <cellStyle name="Normal 2 3 4 2 2 2 4" xfId="5232" xr:uid="{00000000-0005-0000-0000-00009C090000}"/>
    <cellStyle name="Normal 2 3 4 2 2 3" xfId="1516" xr:uid="{00000000-0005-0000-0000-00009D090000}"/>
    <cellStyle name="Normal 2 3 4 2 2 3 2" xfId="3638" xr:uid="{00000000-0005-0000-0000-00009E090000}"/>
    <cellStyle name="Normal 2 3 4 2 2 3 2 2" xfId="7884" xr:uid="{00000000-0005-0000-0000-00009F090000}"/>
    <cellStyle name="Normal 2 3 4 2 2 3 3" xfId="5762" xr:uid="{00000000-0005-0000-0000-0000A0090000}"/>
    <cellStyle name="Normal 2 3 4 2 2 4" xfId="2579" xr:uid="{00000000-0005-0000-0000-0000A1090000}"/>
    <cellStyle name="Normal 2 3 4 2 2 4 2" xfId="6825" xr:uid="{00000000-0005-0000-0000-0000A2090000}"/>
    <cellStyle name="Normal 2 3 4 2 2 5" xfId="4703" xr:uid="{00000000-0005-0000-0000-0000A3090000}"/>
    <cellStyle name="Normal 2 3 4 2 3" xfId="723" xr:uid="{00000000-0005-0000-0000-0000A4090000}"/>
    <cellStyle name="Normal 2 3 4 2 3 2" xfId="1782" xr:uid="{00000000-0005-0000-0000-0000A5090000}"/>
    <cellStyle name="Normal 2 3 4 2 3 2 2" xfId="3904" xr:uid="{00000000-0005-0000-0000-0000A6090000}"/>
    <cellStyle name="Normal 2 3 4 2 3 2 2 2" xfId="8150" xr:uid="{00000000-0005-0000-0000-0000A7090000}"/>
    <cellStyle name="Normal 2 3 4 2 3 2 3" xfId="6028" xr:uid="{00000000-0005-0000-0000-0000A8090000}"/>
    <cellStyle name="Normal 2 3 4 2 3 3" xfId="2845" xr:uid="{00000000-0005-0000-0000-0000A9090000}"/>
    <cellStyle name="Normal 2 3 4 2 3 3 2" xfId="7091" xr:uid="{00000000-0005-0000-0000-0000AA090000}"/>
    <cellStyle name="Normal 2 3 4 2 3 4" xfId="4969" xr:uid="{00000000-0005-0000-0000-0000AB090000}"/>
    <cellStyle name="Normal 2 3 4 2 4" xfId="1253" xr:uid="{00000000-0005-0000-0000-0000AC090000}"/>
    <cellStyle name="Normal 2 3 4 2 4 2" xfId="3375" xr:uid="{00000000-0005-0000-0000-0000AD090000}"/>
    <cellStyle name="Normal 2 3 4 2 4 2 2" xfId="7621" xr:uid="{00000000-0005-0000-0000-0000AE090000}"/>
    <cellStyle name="Normal 2 3 4 2 4 3" xfId="5499" xr:uid="{00000000-0005-0000-0000-0000AF090000}"/>
    <cellStyle name="Normal 2 3 4 2 5" xfId="2316" xr:uid="{00000000-0005-0000-0000-0000B0090000}"/>
    <cellStyle name="Normal 2 3 4 2 5 2" xfId="6562" xr:uid="{00000000-0005-0000-0000-0000B1090000}"/>
    <cellStyle name="Normal 2 3 4 2 6" xfId="4440" xr:uid="{00000000-0005-0000-0000-0000B2090000}"/>
    <cellStyle name="Normal 2 3 4 3" xfId="325" xr:uid="{00000000-0005-0000-0000-0000B3090000}"/>
    <cellStyle name="Normal 2 3 4 3 2" xfId="855" xr:uid="{00000000-0005-0000-0000-0000B4090000}"/>
    <cellStyle name="Normal 2 3 4 3 2 2" xfId="1914" xr:uid="{00000000-0005-0000-0000-0000B5090000}"/>
    <cellStyle name="Normal 2 3 4 3 2 2 2" xfId="4036" xr:uid="{00000000-0005-0000-0000-0000B6090000}"/>
    <cellStyle name="Normal 2 3 4 3 2 2 2 2" xfId="8282" xr:uid="{00000000-0005-0000-0000-0000B7090000}"/>
    <cellStyle name="Normal 2 3 4 3 2 2 3" xfId="6160" xr:uid="{00000000-0005-0000-0000-0000B8090000}"/>
    <cellStyle name="Normal 2 3 4 3 2 3" xfId="2977" xr:uid="{00000000-0005-0000-0000-0000B9090000}"/>
    <cellStyle name="Normal 2 3 4 3 2 3 2" xfId="7223" xr:uid="{00000000-0005-0000-0000-0000BA090000}"/>
    <cellStyle name="Normal 2 3 4 3 2 4" xfId="5101" xr:uid="{00000000-0005-0000-0000-0000BB090000}"/>
    <cellStyle name="Normal 2 3 4 3 3" xfId="1385" xr:uid="{00000000-0005-0000-0000-0000BC090000}"/>
    <cellStyle name="Normal 2 3 4 3 3 2" xfId="3507" xr:uid="{00000000-0005-0000-0000-0000BD090000}"/>
    <cellStyle name="Normal 2 3 4 3 3 2 2" xfId="7753" xr:uid="{00000000-0005-0000-0000-0000BE090000}"/>
    <cellStyle name="Normal 2 3 4 3 3 3" xfId="5631" xr:uid="{00000000-0005-0000-0000-0000BF090000}"/>
    <cellStyle name="Normal 2 3 4 3 4" xfId="2448" xr:uid="{00000000-0005-0000-0000-0000C0090000}"/>
    <cellStyle name="Normal 2 3 4 3 4 2" xfId="6694" xr:uid="{00000000-0005-0000-0000-0000C1090000}"/>
    <cellStyle name="Normal 2 3 4 3 5" xfId="4572" xr:uid="{00000000-0005-0000-0000-0000C2090000}"/>
    <cellStyle name="Normal 2 3 4 4" xfId="592" xr:uid="{00000000-0005-0000-0000-0000C3090000}"/>
    <cellStyle name="Normal 2 3 4 4 2" xfId="1651" xr:uid="{00000000-0005-0000-0000-0000C4090000}"/>
    <cellStyle name="Normal 2 3 4 4 2 2" xfId="3773" xr:uid="{00000000-0005-0000-0000-0000C5090000}"/>
    <cellStyle name="Normal 2 3 4 4 2 2 2" xfId="8019" xr:uid="{00000000-0005-0000-0000-0000C6090000}"/>
    <cellStyle name="Normal 2 3 4 4 2 3" xfId="5897" xr:uid="{00000000-0005-0000-0000-0000C7090000}"/>
    <cellStyle name="Normal 2 3 4 4 3" xfId="2714" xr:uid="{00000000-0005-0000-0000-0000C8090000}"/>
    <cellStyle name="Normal 2 3 4 4 3 2" xfId="6960" xr:uid="{00000000-0005-0000-0000-0000C9090000}"/>
    <cellStyle name="Normal 2 3 4 4 4" xfId="4838" xr:uid="{00000000-0005-0000-0000-0000CA090000}"/>
    <cellStyle name="Normal 2 3 4 5" xfId="1122" xr:uid="{00000000-0005-0000-0000-0000CB090000}"/>
    <cellStyle name="Normal 2 3 4 5 2" xfId="3244" xr:uid="{00000000-0005-0000-0000-0000CC090000}"/>
    <cellStyle name="Normal 2 3 4 5 2 2" xfId="7490" xr:uid="{00000000-0005-0000-0000-0000CD090000}"/>
    <cellStyle name="Normal 2 3 4 5 3" xfId="5368" xr:uid="{00000000-0005-0000-0000-0000CE090000}"/>
    <cellStyle name="Normal 2 3 4 6" xfId="2185" xr:uid="{00000000-0005-0000-0000-0000CF090000}"/>
    <cellStyle name="Normal 2 3 4 6 2" xfId="6431" xr:uid="{00000000-0005-0000-0000-0000D0090000}"/>
    <cellStyle name="Normal 2 3 4 7" xfId="4309" xr:uid="{00000000-0005-0000-0000-0000D1090000}"/>
    <cellStyle name="Normal 2 3 5" xfId="150" xr:uid="{00000000-0005-0000-0000-0000D2090000}"/>
    <cellStyle name="Normal 2 3 5 2" xfId="413" xr:uid="{00000000-0005-0000-0000-0000D3090000}"/>
    <cellStyle name="Normal 2 3 5 2 2" xfId="943" xr:uid="{00000000-0005-0000-0000-0000D4090000}"/>
    <cellStyle name="Normal 2 3 5 2 2 2" xfId="2002" xr:uid="{00000000-0005-0000-0000-0000D5090000}"/>
    <cellStyle name="Normal 2 3 5 2 2 2 2" xfId="4124" xr:uid="{00000000-0005-0000-0000-0000D6090000}"/>
    <cellStyle name="Normal 2 3 5 2 2 2 2 2" xfId="8370" xr:uid="{00000000-0005-0000-0000-0000D7090000}"/>
    <cellStyle name="Normal 2 3 5 2 2 2 3" xfId="6248" xr:uid="{00000000-0005-0000-0000-0000D8090000}"/>
    <cellStyle name="Normal 2 3 5 2 2 3" xfId="3065" xr:uid="{00000000-0005-0000-0000-0000D9090000}"/>
    <cellStyle name="Normal 2 3 5 2 2 3 2" xfId="7311" xr:uid="{00000000-0005-0000-0000-0000DA090000}"/>
    <cellStyle name="Normal 2 3 5 2 2 4" xfId="5189" xr:uid="{00000000-0005-0000-0000-0000DB090000}"/>
    <cellStyle name="Normal 2 3 5 2 3" xfId="1473" xr:uid="{00000000-0005-0000-0000-0000DC090000}"/>
    <cellStyle name="Normal 2 3 5 2 3 2" xfId="3595" xr:uid="{00000000-0005-0000-0000-0000DD090000}"/>
    <cellStyle name="Normal 2 3 5 2 3 2 2" xfId="7841" xr:uid="{00000000-0005-0000-0000-0000DE090000}"/>
    <cellStyle name="Normal 2 3 5 2 3 3" xfId="5719" xr:uid="{00000000-0005-0000-0000-0000DF090000}"/>
    <cellStyle name="Normal 2 3 5 2 4" xfId="2536" xr:uid="{00000000-0005-0000-0000-0000E0090000}"/>
    <cellStyle name="Normal 2 3 5 2 4 2" xfId="6782" xr:uid="{00000000-0005-0000-0000-0000E1090000}"/>
    <cellStyle name="Normal 2 3 5 2 5" xfId="4660" xr:uid="{00000000-0005-0000-0000-0000E2090000}"/>
    <cellStyle name="Normal 2 3 5 3" xfId="680" xr:uid="{00000000-0005-0000-0000-0000E3090000}"/>
    <cellStyle name="Normal 2 3 5 3 2" xfId="1739" xr:uid="{00000000-0005-0000-0000-0000E4090000}"/>
    <cellStyle name="Normal 2 3 5 3 2 2" xfId="3861" xr:uid="{00000000-0005-0000-0000-0000E5090000}"/>
    <cellStyle name="Normal 2 3 5 3 2 2 2" xfId="8107" xr:uid="{00000000-0005-0000-0000-0000E6090000}"/>
    <cellStyle name="Normal 2 3 5 3 2 3" xfId="5985" xr:uid="{00000000-0005-0000-0000-0000E7090000}"/>
    <cellStyle name="Normal 2 3 5 3 3" xfId="2802" xr:uid="{00000000-0005-0000-0000-0000E8090000}"/>
    <cellStyle name="Normal 2 3 5 3 3 2" xfId="7048" xr:uid="{00000000-0005-0000-0000-0000E9090000}"/>
    <cellStyle name="Normal 2 3 5 3 4" xfId="4926" xr:uid="{00000000-0005-0000-0000-0000EA090000}"/>
    <cellStyle name="Normal 2 3 5 4" xfId="1210" xr:uid="{00000000-0005-0000-0000-0000EB090000}"/>
    <cellStyle name="Normal 2 3 5 4 2" xfId="3332" xr:uid="{00000000-0005-0000-0000-0000EC090000}"/>
    <cellStyle name="Normal 2 3 5 4 2 2" xfId="7578" xr:uid="{00000000-0005-0000-0000-0000ED090000}"/>
    <cellStyle name="Normal 2 3 5 4 3" xfId="5456" xr:uid="{00000000-0005-0000-0000-0000EE090000}"/>
    <cellStyle name="Normal 2 3 5 5" xfId="2273" xr:uid="{00000000-0005-0000-0000-0000EF090000}"/>
    <cellStyle name="Normal 2 3 5 5 2" xfId="6519" xr:uid="{00000000-0005-0000-0000-0000F0090000}"/>
    <cellStyle name="Normal 2 3 5 6" xfId="4397" xr:uid="{00000000-0005-0000-0000-0000F1090000}"/>
    <cellStyle name="Normal 2 3 6" xfId="282" xr:uid="{00000000-0005-0000-0000-0000F2090000}"/>
    <cellStyle name="Normal 2 3 6 2" xfId="812" xr:uid="{00000000-0005-0000-0000-0000F3090000}"/>
    <cellStyle name="Normal 2 3 6 2 2" xfId="1871" xr:uid="{00000000-0005-0000-0000-0000F4090000}"/>
    <cellStyle name="Normal 2 3 6 2 2 2" xfId="3993" xr:uid="{00000000-0005-0000-0000-0000F5090000}"/>
    <cellStyle name="Normal 2 3 6 2 2 2 2" xfId="8239" xr:uid="{00000000-0005-0000-0000-0000F6090000}"/>
    <cellStyle name="Normal 2 3 6 2 2 3" xfId="6117" xr:uid="{00000000-0005-0000-0000-0000F7090000}"/>
    <cellStyle name="Normal 2 3 6 2 3" xfId="2934" xr:uid="{00000000-0005-0000-0000-0000F8090000}"/>
    <cellStyle name="Normal 2 3 6 2 3 2" xfId="7180" xr:uid="{00000000-0005-0000-0000-0000F9090000}"/>
    <cellStyle name="Normal 2 3 6 2 4" xfId="5058" xr:uid="{00000000-0005-0000-0000-0000FA090000}"/>
    <cellStyle name="Normal 2 3 6 3" xfId="1342" xr:uid="{00000000-0005-0000-0000-0000FB090000}"/>
    <cellStyle name="Normal 2 3 6 3 2" xfId="3464" xr:uid="{00000000-0005-0000-0000-0000FC090000}"/>
    <cellStyle name="Normal 2 3 6 3 2 2" xfId="7710" xr:uid="{00000000-0005-0000-0000-0000FD090000}"/>
    <cellStyle name="Normal 2 3 6 3 3" xfId="5588" xr:uid="{00000000-0005-0000-0000-0000FE090000}"/>
    <cellStyle name="Normal 2 3 6 4" xfId="2405" xr:uid="{00000000-0005-0000-0000-0000FF090000}"/>
    <cellStyle name="Normal 2 3 6 4 2" xfId="6651" xr:uid="{00000000-0005-0000-0000-0000000A0000}"/>
    <cellStyle name="Normal 2 3 6 5" xfId="4529" xr:uid="{00000000-0005-0000-0000-0000010A0000}"/>
    <cellStyle name="Normal 2 3 7" xfId="549" xr:uid="{00000000-0005-0000-0000-0000020A0000}"/>
    <cellStyle name="Normal 2 3 7 2" xfId="1608" xr:uid="{00000000-0005-0000-0000-0000030A0000}"/>
    <cellStyle name="Normal 2 3 7 2 2" xfId="3730" xr:uid="{00000000-0005-0000-0000-0000040A0000}"/>
    <cellStyle name="Normal 2 3 7 2 2 2" xfId="7976" xr:uid="{00000000-0005-0000-0000-0000050A0000}"/>
    <cellStyle name="Normal 2 3 7 2 3" xfId="5854" xr:uid="{00000000-0005-0000-0000-0000060A0000}"/>
    <cellStyle name="Normal 2 3 7 3" xfId="2671" xr:uid="{00000000-0005-0000-0000-0000070A0000}"/>
    <cellStyle name="Normal 2 3 7 3 2" xfId="6917" xr:uid="{00000000-0005-0000-0000-0000080A0000}"/>
    <cellStyle name="Normal 2 3 7 4" xfId="4795" xr:uid="{00000000-0005-0000-0000-0000090A0000}"/>
    <cellStyle name="Normal 2 3 8" xfId="1079" xr:uid="{00000000-0005-0000-0000-00000A0A0000}"/>
    <cellStyle name="Normal 2 3 8 2" xfId="3201" xr:uid="{00000000-0005-0000-0000-00000B0A0000}"/>
    <cellStyle name="Normal 2 3 8 2 2" xfId="7447" xr:uid="{00000000-0005-0000-0000-00000C0A0000}"/>
    <cellStyle name="Normal 2 3 8 3" xfId="5325" xr:uid="{00000000-0005-0000-0000-00000D0A0000}"/>
    <cellStyle name="Normal 2 3 9" xfId="2142" xr:uid="{00000000-0005-0000-0000-00000E0A0000}"/>
    <cellStyle name="Normal 2 3 9 2" xfId="6388" xr:uid="{00000000-0005-0000-0000-00000F0A0000}"/>
    <cellStyle name="Normal 2 4" xfId="28" xr:uid="{00000000-0005-0000-0000-0000100A0000}"/>
    <cellStyle name="Normal 2 4 2" xfId="114" xr:uid="{00000000-0005-0000-0000-0000110A0000}"/>
    <cellStyle name="Normal 2 4 2 2" xfId="245" xr:uid="{00000000-0005-0000-0000-0000120A0000}"/>
    <cellStyle name="Normal 2 4 2 2 2" xfId="508" xr:uid="{00000000-0005-0000-0000-0000130A0000}"/>
    <cellStyle name="Normal 2 4 2 2 2 2" xfId="1038" xr:uid="{00000000-0005-0000-0000-0000140A0000}"/>
    <cellStyle name="Normal 2 4 2 2 2 2 2" xfId="2097" xr:uid="{00000000-0005-0000-0000-0000150A0000}"/>
    <cellStyle name="Normal 2 4 2 2 2 2 2 2" xfId="4219" xr:uid="{00000000-0005-0000-0000-0000160A0000}"/>
    <cellStyle name="Normal 2 4 2 2 2 2 2 2 2" xfId="8465" xr:uid="{00000000-0005-0000-0000-0000170A0000}"/>
    <cellStyle name="Normal 2 4 2 2 2 2 2 3" xfId="6343" xr:uid="{00000000-0005-0000-0000-0000180A0000}"/>
    <cellStyle name="Normal 2 4 2 2 2 2 3" xfId="3160" xr:uid="{00000000-0005-0000-0000-0000190A0000}"/>
    <cellStyle name="Normal 2 4 2 2 2 2 3 2" xfId="7406" xr:uid="{00000000-0005-0000-0000-00001A0A0000}"/>
    <cellStyle name="Normal 2 4 2 2 2 2 4" xfId="5284" xr:uid="{00000000-0005-0000-0000-00001B0A0000}"/>
    <cellStyle name="Normal 2 4 2 2 2 3" xfId="1568" xr:uid="{00000000-0005-0000-0000-00001C0A0000}"/>
    <cellStyle name="Normal 2 4 2 2 2 3 2" xfId="3690" xr:uid="{00000000-0005-0000-0000-00001D0A0000}"/>
    <cellStyle name="Normal 2 4 2 2 2 3 2 2" xfId="7936" xr:uid="{00000000-0005-0000-0000-00001E0A0000}"/>
    <cellStyle name="Normal 2 4 2 2 2 3 3" xfId="5814" xr:uid="{00000000-0005-0000-0000-00001F0A0000}"/>
    <cellStyle name="Normal 2 4 2 2 2 4" xfId="2631" xr:uid="{00000000-0005-0000-0000-0000200A0000}"/>
    <cellStyle name="Normal 2 4 2 2 2 4 2" xfId="6877" xr:uid="{00000000-0005-0000-0000-0000210A0000}"/>
    <cellStyle name="Normal 2 4 2 2 2 5" xfId="4755" xr:uid="{00000000-0005-0000-0000-0000220A0000}"/>
    <cellStyle name="Normal 2 4 2 2 3" xfId="775" xr:uid="{00000000-0005-0000-0000-0000230A0000}"/>
    <cellStyle name="Normal 2 4 2 2 3 2" xfId="1834" xr:uid="{00000000-0005-0000-0000-0000240A0000}"/>
    <cellStyle name="Normal 2 4 2 2 3 2 2" xfId="3956" xr:uid="{00000000-0005-0000-0000-0000250A0000}"/>
    <cellStyle name="Normal 2 4 2 2 3 2 2 2" xfId="8202" xr:uid="{00000000-0005-0000-0000-0000260A0000}"/>
    <cellStyle name="Normal 2 4 2 2 3 2 3" xfId="6080" xr:uid="{00000000-0005-0000-0000-0000270A0000}"/>
    <cellStyle name="Normal 2 4 2 2 3 3" xfId="2897" xr:uid="{00000000-0005-0000-0000-0000280A0000}"/>
    <cellStyle name="Normal 2 4 2 2 3 3 2" xfId="7143" xr:uid="{00000000-0005-0000-0000-0000290A0000}"/>
    <cellStyle name="Normal 2 4 2 2 3 4" xfId="5021" xr:uid="{00000000-0005-0000-0000-00002A0A0000}"/>
    <cellStyle name="Normal 2 4 2 2 4" xfId="1305" xr:uid="{00000000-0005-0000-0000-00002B0A0000}"/>
    <cellStyle name="Normal 2 4 2 2 4 2" xfId="3427" xr:uid="{00000000-0005-0000-0000-00002C0A0000}"/>
    <cellStyle name="Normal 2 4 2 2 4 2 2" xfId="7673" xr:uid="{00000000-0005-0000-0000-00002D0A0000}"/>
    <cellStyle name="Normal 2 4 2 2 4 3" xfId="5551" xr:uid="{00000000-0005-0000-0000-00002E0A0000}"/>
    <cellStyle name="Normal 2 4 2 2 5" xfId="2368" xr:uid="{00000000-0005-0000-0000-00002F0A0000}"/>
    <cellStyle name="Normal 2 4 2 2 5 2" xfId="6614" xr:uid="{00000000-0005-0000-0000-0000300A0000}"/>
    <cellStyle name="Normal 2 4 2 2 6" xfId="4492" xr:uid="{00000000-0005-0000-0000-0000310A0000}"/>
    <cellStyle name="Normal 2 4 2 3" xfId="377" xr:uid="{00000000-0005-0000-0000-0000320A0000}"/>
    <cellStyle name="Normal 2 4 2 3 2" xfId="907" xr:uid="{00000000-0005-0000-0000-0000330A0000}"/>
    <cellStyle name="Normal 2 4 2 3 2 2" xfId="1966" xr:uid="{00000000-0005-0000-0000-0000340A0000}"/>
    <cellStyle name="Normal 2 4 2 3 2 2 2" xfId="4088" xr:uid="{00000000-0005-0000-0000-0000350A0000}"/>
    <cellStyle name="Normal 2 4 2 3 2 2 2 2" xfId="8334" xr:uid="{00000000-0005-0000-0000-0000360A0000}"/>
    <cellStyle name="Normal 2 4 2 3 2 2 3" xfId="6212" xr:uid="{00000000-0005-0000-0000-0000370A0000}"/>
    <cellStyle name="Normal 2 4 2 3 2 3" xfId="3029" xr:uid="{00000000-0005-0000-0000-0000380A0000}"/>
    <cellStyle name="Normal 2 4 2 3 2 3 2" xfId="7275" xr:uid="{00000000-0005-0000-0000-0000390A0000}"/>
    <cellStyle name="Normal 2 4 2 3 2 4" xfId="5153" xr:uid="{00000000-0005-0000-0000-00003A0A0000}"/>
    <cellStyle name="Normal 2 4 2 3 3" xfId="1437" xr:uid="{00000000-0005-0000-0000-00003B0A0000}"/>
    <cellStyle name="Normal 2 4 2 3 3 2" xfId="3559" xr:uid="{00000000-0005-0000-0000-00003C0A0000}"/>
    <cellStyle name="Normal 2 4 2 3 3 2 2" xfId="7805" xr:uid="{00000000-0005-0000-0000-00003D0A0000}"/>
    <cellStyle name="Normal 2 4 2 3 3 3" xfId="5683" xr:uid="{00000000-0005-0000-0000-00003E0A0000}"/>
    <cellStyle name="Normal 2 4 2 3 4" xfId="2500" xr:uid="{00000000-0005-0000-0000-00003F0A0000}"/>
    <cellStyle name="Normal 2 4 2 3 4 2" xfId="6746" xr:uid="{00000000-0005-0000-0000-0000400A0000}"/>
    <cellStyle name="Normal 2 4 2 3 5" xfId="4624" xr:uid="{00000000-0005-0000-0000-0000410A0000}"/>
    <cellStyle name="Normal 2 4 2 4" xfId="644" xr:uid="{00000000-0005-0000-0000-0000420A0000}"/>
    <cellStyle name="Normal 2 4 2 4 2" xfId="1703" xr:uid="{00000000-0005-0000-0000-0000430A0000}"/>
    <cellStyle name="Normal 2 4 2 4 2 2" xfId="3825" xr:uid="{00000000-0005-0000-0000-0000440A0000}"/>
    <cellStyle name="Normal 2 4 2 4 2 2 2" xfId="8071" xr:uid="{00000000-0005-0000-0000-0000450A0000}"/>
    <cellStyle name="Normal 2 4 2 4 2 3" xfId="5949" xr:uid="{00000000-0005-0000-0000-0000460A0000}"/>
    <cellStyle name="Normal 2 4 2 4 3" xfId="2766" xr:uid="{00000000-0005-0000-0000-0000470A0000}"/>
    <cellStyle name="Normal 2 4 2 4 3 2" xfId="7012" xr:uid="{00000000-0005-0000-0000-0000480A0000}"/>
    <cellStyle name="Normal 2 4 2 4 4" xfId="4890" xr:uid="{00000000-0005-0000-0000-0000490A0000}"/>
    <cellStyle name="Normal 2 4 2 5" xfId="1174" xr:uid="{00000000-0005-0000-0000-00004A0A0000}"/>
    <cellStyle name="Normal 2 4 2 5 2" xfId="3296" xr:uid="{00000000-0005-0000-0000-00004B0A0000}"/>
    <cellStyle name="Normal 2 4 2 5 2 2" xfId="7542" xr:uid="{00000000-0005-0000-0000-00004C0A0000}"/>
    <cellStyle name="Normal 2 4 2 5 3" xfId="5420" xr:uid="{00000000-0005-0000-0000-00004D0A0000}"/>
    <cellStyle name="Normal 2 4 2 6" xfId="2237" xr:uid="{00000000-0005-0000-0000-00004E0A0000}"/>
    <cellStyle name="Normal 2 4 2 6 2" xfId="6483" xr:uid="{00000000-0005-0000-0000-00004F0A0000}"/>
    <cellStyle name="Normal 2 4 2 7" xfId="4361" xr:uid="{00000000-0005-0000-0000-0000500A0000}"/>
    <cellStyle name="Normal 2 4 3" xfId="71" xr:uid="{00000000-0005-0000-0000-0000510A0000}"/>
    <cellStyle name="Normal 2 4 3 2" xfId="203" xr:uid="{00000000-0005-0000-0000-0000520A0000}"/>
    <cellStyle name="Normal 2 4 3 2 2" xfId="466" xr:uid="{00000000-0005-0000-0000-0000530A0000}"/>
    <cellStyle name="Normal 2 4 3 2 2 2" xfId="996" xr:uid="{00000000-0005-0000-0000-0000540A0000}"/>
    <cellStyle name="Normal 2 4 3 2 2 2 2" xfId="2055" xr:uid="{00000000-0005-0000-0000-0000550A0000}"/>
    <cellStyle name="Normal 2 4 3 2 2 2 2 2" xfId="4177" xr:uid="{00000000-0005-0000-0000-0000560A0000}"/>
    <cellStyle name="Normal 2 4 3 2 2 2 2 2 2" xfId="8423" xr:uid="{00000000-0005-0000-0000-0000570A0000}"/>
    <cellStyle name="Normal 2 4 3 2 2 2 2 3" xfId="6301" xr:uid="{00000000-0005-0000-0000-0000580A0000}"/>
    <cellStyle name="Normal 2 4 3 2 2 2 3" xfId="3118" xr:uid="{00000000-0005-0000-0000-0000590A0000}"/>
    <cellStyle name="Normal 2 4 3 2 2 2 3 2" xfId="7364" xr:uid="{00000000-0005-0000-0000-00005A0A0000}"/>
    <cellStyle name="Normal 2 4 3 2 2 2 4" xfId="5242" xr:uid="{00000000-0005-0000-0000-00005B0A0000}"/>
    <cellStyle name="Normal 2 4 3 2 2 3" xfId="1526" xr:uid="{00000000-0005-0000-0000-00005C0A0000}"/>
    <cellStyle name="Normal 2 4 3 2 2 3 2" xfId="3648" xr:uid="{00000000-0005-0000-0000-00005D0A0000}"/>
    <cellStyle name="Normal 2 4 3 2 2 3 2 2" xfId="7894" xr:uid="{00000000-0005-0000-0000-00005E0A0000}"/>
    <cellStyle name="Normal 2 4 3 2 2 3 3" xfId="5772" xr:uid="{00000000-0005-0000-0000-00005F0A0000}"/>
    <cellStyle name="Normal 2 4 3 2 2 4" xfId="2589" xr:uid="{00000000-0005-0000-0000-0000600A0000}"/>
    <cellStyle name="Normal 2 4 3 2 2 4 2" xfId="6835" xr:uid="{00000000-0005-0000-0000-0000610A0000}"/>
    <cellStyle name="Normal 2 4 3 2 2 5" xfId="4713" xr:uid="{00000000-0005-0000-0000-0000620A0000}"/>
    <cellStyle name="Normal 2 4 3 2 3" xfId="733" xr:uid="{00000000-0005-0000-0000-0000630A0000}"/>
    <cellStyle name="Normal 2 4 3 2 3 2" xfId="1792" xr:uid="{00000000-0005-0000-0000-0000640A0000}"/>
    <cellStyle name="Normal 2 4 3 2 3 2 2" xfId="3914" xr:uid="{00000000-0005-0000-0000-0000650A0000}"/>
    <cellStyle name="Normal 2 4 3 2 3 2 2 2" xfId="8160" xr:uid="{00000000-0005-0000-0000-0000660A0000}"/>
    <cellStyle name="Normal 2 4 3 2 3 2 3" xfId="6038" xr:uid="{00000000-0005-0000-0000-0000670A0000}"/>
    <cellStyle name="Normal 2 4 3 2 3 3" xfId="2855" xr:uid="{00000000-0005-0000-0000-0000680A0000}"/>
    <cellStyle name="Normal 2 4 3 2 3 3 2" xfId="7101" xr:uid="{00000000-0005-0000-0000-0000690A0000}"/>
    <cellStyle name="Normal 2 4 3 2 3 4" xfId="4979" xr:uid="{00000000-0005-0000-0000-00006A0A0000}"/>
    <cellStyle name="Normal 2 4 3 2 4" xfId="1263" xr:uid="{00000000-0005-0000-0000-00006B0A0000}"/>
    <cellStyle name="Normal 2 4 3 2 4 2" xfId="3385" xr:uid="{00000000-0005-0000-0000-00006C0A0000}"/>
    <cellStyle name="Normal 2 4 3 2 4 2 2" xfId="7631" xr:uid="{00000000-0005-0000-0000-00006D0A0000}"/>
    <cellStyle name="Normal 2 4 3 2 4 3" xfId="5509" xr:uid="{00000000-0005-0000-0000-00006E0A0000}"/>
    <cellStyle name="Normal 2 4 3 2 5" xfId="2326" xr:uid="{00000000-0005-0000-0000-00006F0A0000}"/>
    <cellStyle name="Normal 2 4 3 2 5 2" xfId="6572" xr:uid="{00000000-0005-0000-0000-0000700A0000}"/>
    <cellStyle name="Normal 2 4 3 2 6" xfId="4450" xr:uid="{00000000-0005-0000-0000-0000710A0000}"/>
    <cellStyle name="Normal 2 4 3 3" xfId="335" xr:uid="{00000000-0005-0000-0000-0000720A0000}"/>
    <cellStyle name="Normal 2 4 3 3 2" xfId="865" xr:uid="{00000000-0005-0000-0000-0000730A0000}"/>
    <cellStyle name="Normal 2 4 3 3 2 2" xfId="1924" xr:uid="{00000000-0005-0000-0000-0000740A0000}"/>
    <cellStyle name="Normal 2 4 3 3 2 2 2" xfId="4046" xr:uid="{00000000-0005-0000-0000-0000750A0000}"/>
    <cellStyle name="Normal 2 4 3 3 2 2 2 2" xfId="8292" xr:uid="{00000000-0005-0000-0000-0000760A0000}"/>
    <cellStyle name="Normal 2 4 3 3 2 2 3" xfId="6170" xr:uid="{00000000-0005-0000-0000-0000770A0000}"/>
    <cellStyle name="Normal 2 4 3 3 2 3" xfId="2987" xr:uid="{00000000-0005-0000-0000-0000780A0000}"/>
    <cellStyle name="Normal 2 4 3 3 2 3 2" xfId="7233" xr:uid="{00000000-0005-0000-0000-0000790A0000}"/>
    <cellStyle name="Normal 2 4 3 3 2 4" xfId="5111" xr:uid="{00000000-0005-0000-0000-00007A0A0000}"/>
    <cellStyle name="Normal 2 4 3 3 3" xfId="1395" xr:uid="{00000000-0005-0000-0000-00007B0A0000}"/>
    <cellStyle name="Normal 2 4 3 3 3 2" xfId="3517" xr:uid="{00000000-0005-0000-0000-00007C0A0000}"/>
    <cellStyle name="Normal 2 4 3 3 3 2 2" xfId="7763" xr:uid="{00000000-0005-0000-0000-00007D0A0000}"/>
    <cellStyle name="Normal 2 4 3 3 3 3" xfId="5641" xr:uid="{00000000-0005-0000-0000-00007E0A0000}"/>
    <cellStyle name="Normal 2 4 3 3 4" xfId="2458" xr:uid="{00000000-0005-0000-0000-00007F0A0000}"/>
    <cellStyle name="Normal 2 4 3 3 4 2" xfId="6704" xr:uid="{00000000-0005-0000-0000-0000800A0000}"/>
    <cellStyle name="Normal 2 4 3 3 5" xfId="4582" xr:uid="{00000000-0005-0000-0000-0000810A0000}"/>
    <cellStyle name="Normal 2 4 3 4" xfId="602" xr:uid="{00000000-0005-0000-0000-0000820A0000}"/>
    <cellStyle name="Normal 2 4 3 4 2" xfId="1661" xr:uid="{00000000-0005-0000-0000-0000830A0000}"/>
    <cellStyle name="Normal 2 4 3 4 2 2" xfId="3783" xr:uid="{00000000-0005-0000-0000-0000840A0000}"/>
    <cellStyle name="Normal 2 4 3 4 2 2 2" xfId="8029" xr:uid="{00000000-0005-0000-0000-0000850A0000}"/>
    <cellStyle name="Normal 2 4 3 4 2 3" xfId="5907" xr:uid="{00000000-0005-0000-0000-0000860A0000}"/>
    <cellStyle name="Normal 2 4 3 4 3" xfId="2724" xr:uid="{00000000-0005-0000-0000-0000870A0000}"/>
    <cellStyle name="Normal 2 4 3 4 3 2" xfId="6970" xr:uid="{00000000-0005-0000-0000-0000880A0000}"/>
    <cellStyle name="Normal 2 4 3 4 4" xfId="4848" xr:uid="{00000000-0005-0000-0000-0000890A0000}"/>
    <cellStyle name="Normal 2 4 3 5" xfId="1132" xr:uid="{00000000-0005-0000-0000-00008A0A0000}"/>
    <cellStyle name="Normal 2 4 3 5 2" xfId="3254" xr:uid="{00000000-0005-0000-0000-00008B0A0000}"/>
    <cellStyle name="Normal 2 4 3 5 2 2" xfId="7500" xr:uid="{00000000-0005-0000-0000-00008C0A0000}"/>
    <cellStyle name="Normal 2 4 3 5 3" xfId="5378" xr:uid="{00000000-0005-0000-0000-00008D0A0000}"/>
    <cellStyle name="Normal 2 4 3 6" xfId="2195" xr:uid="{00000000-0005-0000-0000-00008E0A0000}"/>
    <cellStyle name="Normal 2 4 3 6 2" xfId="6441" xr:uid="{00000000-0005-0000-0000-00008F0A0000}"/>
    <cellStyle name="Normal 2 4 3 7" xfId="4319" xr:uid="{00000000-0005-0000-0000-0000900A0000}"/>
    <cellStyle name="Normal 2 4 4" xfId="160" xr:uid="{00000000-0005-0000-0000-0000910A0000}"/>
    <cellStyle name="Normal 2 4 4 2" xfId="423" xr:uid="{00000000-0005-0000-0000-0000920A0000}"/>
    <cellStyle name="Normal 2 4 4 2 2" xfId="953" xr:uid="{00000000-0005-0000-0000-0000930A0000}"/>
    <cellStyle name="Normal 2 4 4 2 2 2" xfId="2012" xr:uid="{00000000-0005-0000-0000-0000940A0000}"/>
    <cellStyle name="Normal 2 4 4 2 2 2 2" xfId="4134" xr:uid="{00000000-0005-0000-0000-0000950A0000}"/>
    <cellStyle name="Normal 2 4 4 2 2 2 2 2" xfId="8380" xr:uid="{00000000-0005-0000-0000-0000960A0000}"/>
    <cellStyle name="Normal 2 4 4 2 2 2 3" xfId="6258" xr:uid="{00000000-0005-0000-0000-0000970A0000}"/>
    <cellStyle name="Normal 2 4 4 2 2 3" xfId="3075" xr:uid="{00000000-0005-0000-0000-0000980A0000}"/>
    <cellStyle name="Normal 2 4 4 2 2 3 2" xfId="7321" xr:uid="{00000000-0005-0000-0000-0000990A0000}"/>
    <cellStyle name="Normal 2 4 4 2 2 4" xfId="5199" xr:uid="{00000000-0005-0000-0000-00009A0A0000}"/>
    <cellStyle name="Normal 2 4 4 2 3" xfId="1483" xr:uid="{00000000-0005-0000-0000-00009B0A0000}"/>
    <cellStyle name="Normal 2 4 4 2 3 2" xfId="3605" xr:uid="{00000000-0005-0000-0000-00009C0A0000}"/>
    <cellStyle name="Normal 2 4 4 2 3 2 2" xfId="7851" xr:uid="{00000000-0005-0000-0000-00009D0A0000}"/>
    <cellStyle name="Normal 2 4 4 2 3 3" xfId="5729" xr:uid="{00000000-0005-0000-0000-00009E0A0000}"/>
    <cellStyle name="Normal 2 4 4 2 4" xfId="2546" xr:uid="{00000000-0005-0000-0000-00009F0A0000}"/>
    <cellStyle name="Normal 2 4 4 2 4 2" xfId="6792" xr:uid="{00000000-0005-0000-0000-0000A00A0000}"/>
    <cellStyle name="Normal 2 4 4 2 5" xfId="4670" xr:uid="{00000000-0005-0000-0000-0000A10A0000}"/>
    <cellStyle name="Normal 2 4 4 3" xfId="690" xr:uid="{00000000-0005-0000-0000-0000A20A0000}"/>
    <cellStyle name="Normal 2 4 4 3 2" xfId="1749" xr:uid="{00000000-0005-0000-0000-0000A30A0000}"/>
    <cellStyle name="Normal 2 4 4 3 2 2" xfId="3871" xr:uid="{00000000-0005-0000-0000-0000A40A0000}"/>
    <cellStyle name="Normal 2 4 4 3 2 2 2" xfId="8117" xr:uid="{00000000-0005-0000-0000-0000A50A0000}"/>
    <cellStyle name="Normal 2 4 4 3 2 3" xfId="5995" xr:uid="{00000000-0005-0000-0000-0000A60A0000}"/>
    <cellStyle name="Normal 2 4 4 3 3" xfId="2812" xr:uid="{00000000-0005-0000-0000-0000A70A0000}"/>
    <cellStyle name="Normal 2 4 4 3 3 2" xfId="7058" xr:uid="{00000000-0005-0000-0000-0000A80A0000}"/>
    <cellStyle name="Normal 2 4 4 3 4" xfId="4936" xr:uid="{00000000-0005-0000-0000-0000A90A0000}"/>
    <cellStyle name="Normal 2 4 4 4" xfId="1220" xr:uid="{00000000-0005-0000-0000-0000AA0A0000}"/>
    <cellStyle name="Normal 2 4 4 4 2" xfId="3342" xr:uid="{00000000-0005-0000-0000-0000AB0A0000}"/>
    <cellStyle name="Normal 2 4 4 4 2 2" xfId="7588" xr:uid="{00000000-0005-0000-0000-0000AC0A0000}"/>
    <cellStyle name="Normal 2 4 4 4 3" xfId="5466" xr:uid="{00000000-0005-0000-0000-0000AD0A0000}"/>
    <cellStyle name="Normal 2 4 4 5" xfId="2283" xr:uid="{00000000-0005-0000-0000-0000AE0A0000}"/>
    <cellStyle name="Normal 2 4 4 5 2" xfId="6529" xr:uid="{00000000-0005-0000-0000-0000AF0A0000}"/>
    <cellStyle name="Normal 2 4 4 6" xfId="4407" xr:uid="{00000000-0005-0000-0000-0000B00A0000}"/>
    <cellStyle name="Normal 2 4 5" xfId="292" xr:uid="{00000000-0005-0000-0000-0000B10A0000}"/>
    <cellStyle name="Normal 2 4 5 2" xfId="822" xr:uid="{00000000-0005-0000-0000-0000B20A0000}"/>
    <cellStyle name="Normal 2 4 5 2 2" xfId="1881" xr:uid="{00000000-0005-0000-0000-0000B30A0000}"/>
    <cellStyle name="Normal 2 4 5 2 2 2" xfId="4003" xr:uid="{00000000-0005-0000-0000-0000B40A0000}"/>
    <cellStyle name="Normal 2 4 5 2 2 2 2" xfId="8249" xr:uid="{00000000-0005-0000-0000-0000B50A0000}"/>
    <cellStyle name="Normal 2 4 5 2 2 3" xfId="6127" xr:uid="{00000000-0005-0000-0000-0000B60A0000}"/>
    <cellStyle name="Normal 2 4 5 2 3" xfId="2944" xr:uid="{00000000-0005-0000-0000-0000B70A0000}"/>
    <cellStyle name="Normal 2 4 5 2 3 2" xfId="7190" xr:uid="{00000000-0005-0000-0000-0000B80A0000}"/>
    <cellStyle name="Normal 2 4 5 2 4" xfId="5068" xr:uid="{00000000-0005-0000-0000-0000B90A0000}"/>
    <cellStyle name="Normal 2 4 5 3" xfId="1352" xr:uid="{00000000-0005-0000-0000-0000BA0A0000}"/>
    <cellStyle name="Normal 2 4 5 3 2" xfId="3474" xr:uid="{00000000-0005-0000-0000-0000BB0A0000}"/>
    <cellStyle name="Normal 2 4 5 3 2 2" xfId="7720" xr:uid="{00000000-0005-0000-0000-0000BC0A0000}"/>
    <cellStyle name="Normal 2 4 5 3 3" xfId="5598" xr:uid="{00000000-0005-0000-0000-0000BD0A0000}"/>
    <cellStyle name="Normal 2 4 5 4" xfId="2415" xr:uid="{00000000-0005-0000-0000-0000BE0A0000}"/>
    <cellStyle name="Normal 2 4 5 4 2" xfId="6661" xr:uid="{00000000-0005-0000-0000-0000BF0A0000}"/>
    <cellStyle name="Normal 2 4 5 5" xfId="4539" xr:uid="{00000000-0005-0000-0000-0000C00A0000}"/>
    <cellStyle name="Normal 2 4 6" xfId="559" xr:uid="{00000000-0005-0000-0000-0000C10A0000}"/>
    <cellStyle name="Normal 2 4 6 2" xfId="1618" xr:uid="{00000000-0005-0000-0000-0000C20A0000}"/>
    <cellStyle name="Normal 2 4 6 2 2" xfId="3740" xr:uid="{00000000-0005-0000-0000-0000C30A0000}"/>
    <cellStyle name="Normal 2 4 6 2 2 2" xfId="7986" xr:uid="{00000000-0005-0000-0000-0000C40A0000}"/>
    <cellStyle name="Normal 2 4 6 2 3" xfId="5864" xr:uid="{00000000-0005-0000-0000-0000C50A0000}"/>
    <cellStyle name="Normal 2 4 6 3" xfId="2681" xr:uid="{00000000-0005-0000-0000-0000C60A0000}"/>
    <cellStyle name="Normal 2 4 6 3 2" xfId="6927" xr:uid="{00000000-0005-0000-0000-0000C70A0000}"/>
    <cellStyle name="Normal 2 4 6 4" xfId="4805" xr:uid="{00000000-0005-0000-0000-0000C80A0000}"/>
    <cellStyle name="Normal 2 4 7" xfId="1089" xr:uid="{00000000-0005-0000-0000-0000C90A0000}"/>
    <cellStyle name="Normal 2 4 7 2" xfId="3211" xr:uid="{00000000-0005-0000-0000-0000CA0A0000}"/>
    <cellStyle name="Normal 2 4 7 2 2" xfId="7457" xr:uid="{00000000-0005-0000-0000-0000CB0A0000}"/>
    <cellStyle name="Normal 2 4 7 3" xfId="5335" xr:uid="{00000000-0005-0000-0000-0000CC0A0000}"/>
    <cellStyle name="Normal 2 4 8" xfId="2152" xr:uid="{00000000-0005-0000-0000-0000CD0A0000}"/>
    <cellStyle name="Normal 2 4 8 2" xfId="6398" xr:uid="{00000000-0005-0000-0000-0000CE0A0000}"/>
    <cellStyle name="Normal 2 4 9" xfId="4276" xr:uid="{00000000-0005-0000-0000-0000CF0A0000}"/>
    <cellStyle name="Normal 2 5" xfId="94" xr:uid="{00000000-0005-0000-0000-0000D00A0000}"/>
    <cellStyle name="Normal 2 5 2" xfId="225" xr:uid="{00000000-0005-0000-0000-0000D10A0000}"/>
    <cellStyle name="Normal 2 5 2 2" xfId="488" xr:uid="{00000000-0005-0000-0000-0000D20A0000}"/>
    <cellStyle name="Normal 2 5 2 2 2" xfId="1018" xr:uid="{00000000-0005-0000-0000-0000D30A0000}"/>
    <cellStyle name="Normal 2 5 2 2 2 2" xfId="2077" xr:uid="{00000000-0005-0000-0000-0000D40A0000}"/>
    <cellStyle name="Normal 2 5 2 2 2 2 2" xfId="4199" xr:uid="{00000000-0005-0000-0000-0000D50A0000}"/>
    <cellStyle name="Normal 2 5 2 2 2 2 2 2" xfId="8445" xr:uid="{00000000-0005-0000-0000-0000D60A0000}"/>
    <cellStyle name="Normal 2 5 2 2 2 2 3" xfId="6323" xr:uid="{00000000-0005-0000-0000-0000D70A0000}"/>
    <cellStyle name="Normal 2 5 2 2 2 3" xfId="3140" xr:uid="{00000000-0005-0000-0000-0000D80A0000}"/>
    <cellStyle name="Normal 2 5 2 2 2 3 2" xfId="7386" xr:uid="{00000000-0005-0000-0000-0000D90A0000}"/>
    <cellStyle name="Normal 2 5 2 2 2 4" xfId="5264" xr:uid="{00000000-0005-0000-0000-0000DA0A0000}"/>
    <cellStyle name="Normal 2 5 2 2 3" xfId="1548" xr:uid="{00000000-0005-0000-0000-0000DB0A0000}"/>
    <cellStyle name="Normal 2 5 2 2 3 2" xfId="3670" xr:uid="{00000000-0005-0000-0000-0000DC0A0000}"/>
    <cellStyle name="Normal 2 5 2 2 3 2 2" xfId="7916" xr:uid="{00000000-0005-0000-0000-0000DD0A0000}"/>
    <cellStyle name="Normal 2 5 2 2 3 3" xfId="5794" xr:uid="{00000000-0005-0000-0000-0000DE0A0000}"/>
    <cellStyle name="Normal 2 5 2 2 4" xfId="2611" xr:uid="{00000000-0005-0000-0000-0000DF0A0000}"/>
    <cellStyle name="Normal 2 5 2 2 4 2" xfId="6857" xr:uid="{00000000-0005-0000-0000-0000E00A0000}"/>
    <cellStyle name="Normal 2 5 2 2 5" xfId="4735" xr:uid="{00000000-0005-0000-0000-0000E10A0000}"/>
    <cellStyle name="Normal 2 5 2 3" xfId="755" xr:uid="{00000000-0005-0000-0000-0000E20A0000}"/>
    <cellStyle name="Normal 2 5 2 3 2" xfId="1814" xr:uid="{00000000-0005-0000-0000-0000E30A0000}"/>
    <cellStyle name="Normal 2 5 2 3 2 2" xfId="3936" xr:uid="{00000000-0005-0000-0000-0000E40A0000}"/>
    <cellStyle name="Normal 2 5 2 3 2 2 2" xfId="8182" xr:uid="{00000000-0005-0000-0000-0000E50A0000}"/>
    <cellStyle name="Normal 2 5 2 3 2 3" xfId="6060" xr:uid="{00000000-0005-0000-0000-0000E60A0000}"/>
    <cellStyle name="Normal 2 5 2 3 3" xfId="2877" xr:uid="{00000000-0005-0000-0000-0000E70A0000}"/>
    <cellStyle name="Normal 2 5 2 3 3 2" xfId="7123" xr:uid="{00000000-0005-0000-0000-0000E80A0000}"/>
    <cellStyle name="Normal 2 5 2 3 4" xfId="5001" xr:uid="{00000000-0005-0000-0000-0000E90A0000}"/>
    <cellStyle name="Normal 2 5 2 4" xfId="1285" xr:uid="{00000000-0005-0000-0000-0000EA0A0000}"/>
    <cellStyle name="Normal 2 5 2 4 2" xfId="3407" xr:uid="{00000000-0005-0000-0000-0000EB0A0000}"/>
    <cellStyle name="Normal 2 5 2 4 2 2" xfId="7653" xr:uid="{00000000-0005-0000-0000-0000EC0A0000}"/>
    <cellStyle name="Normal 2 5 2 4 3" xfId="5531" xr:uid="{00000000-0005-0000-0000-0000ED0A0000}"/>
    <cellStyle name="Normal 2 5 2 5" xfId="2348" xr:uid="{00000000-0005-0000-0000-0000EE0A0000}"/>
    <cellStyle name="Normal 2 5 2 5 2" xfId="6594" xr:uid="{00000000-0005-0000-0000-0000EF0A0000}"/>
    <cellStyle name="Normal 2 5 2 6" xfId="4472" xr:uid="{00000000-0005-0000-0000-0000F00A0000}"/>
    <cellStyle name="Normal 2 5 3" xfId="357" xr:uid="{00000000-0005-0000-0000-0000F10A0000}"/>
    <cellStyle name="Normal 2 5 3 2" xfId="887" xr:uid="{00000000-0005-0000-0000-0000F20A0000}"/>
    <cellStyle name="Normal 2 5 3 2 2" xfId="1946" xr:uid="{00000000-0005-0000-0000-0000F30A0000}"/>
    <cellStyle name="Normal 2 5 3 2 2 2" xfId="4068" xr:uid="{00000000-0005-0000-0000-0000F40A0000}"/>
    <cellStyle name="Normal 2 5 3 2 2 2 2" xfId="8314" xr:uid="{00000000-0005-0000-0000-0000F50A0000}"/>
    <cellStyle name="Normal 2 5 3 2 2 3" xfId="6192" xr:uid="{00000000-0005-0000-0000-0000F60A0000}"/>
    <cellStyle name="Normal 2 5 3 2 3" xfId="3009" xr:uid="{00000000-0005-0000-0000-0000F70A0000}"/>
    <cellStyle name="Normal 2 5 3 2 3 2" xfId="7255" xr:uid="{00000000-0005-0000-0000-0000F80A0000}"/>
    <cellStyle name="Normal 2 5 3 2 4" xfId="5133" xr:uid="{00000000-0005-0000-0000-0000F90A0000}"/>
    <cellStyle name="Normal 2 5 3 3" xfId="1417" xr:uid="{00000000-0005-0000-0000-0000FA0A0000}"/>
    <cellStyle name="Normal 2 5 3 3 2" xfId="3539" xr:uid="{00000000-0005-0000-0000-0000FB0A0000}"/>
    <cellStyle name="Normal 2 5 3 3 2 2" xfId="7785" xr:uid="{00000000-0005-0000-0000-0000FC0A0000}"/>
    <cellStyle name="Normal 2 5 3 3 3" xfId="5663" xr:uid="{00000000-0005-0000-0000-0000FD0A0000}"/>
    <cellStyle name="Normal 2 5 3 4" xfId="2480" xr:uid="{00000000-0005-0000-0000-0000FE0A0000}"/>
    <cellStyle name="Normal 2 5 3 4 2" xfId="6726" xr:uid="{00000000-0005-0000-0000-0000FF0A0000}"/>
    <cellStyle name="Normal 2 5 3 5" xfId="4604" xr:uid="{00000000-0005-0000-0000-0000000B0000}"/>
    <cellStyle name="Normal 2 5 4" xfId="624" xr:uid="{00000000-0005-0000-0000-0000010B0000}"/>
    <cellStyle name="Normal 2 5 4 2" xfId="1683" xr:uid="{00000000-0005-0000-0000-0000020B0000}"/>
    <cellStyle name="Normal 2 5 4 2 2" xfId="3805" xr:uid="{00000000-0005-0000-0000-0000030B0000}"/>
    <cellStyle name="Normal 2 5 4 2 2 2" xfId="8051" xr:uid="{00000000-0005-0000-0000-0000040B0000}"/>
    <cellStyle name="Normal 2 5 4 2 3" xfId="5929" xr:uid="{00000000-0005-0000-0000-0000050B0000}"/>
    <cellStyle name="Normal 2 5 4 3" xfId="2746" xr:uid="{00000000-0005-0000-0000-0000060B0000}"/>
    <cellStyle name="Normal 2 5 4 3 2" xfId="6992" xr:uid="{00000000-0005-0000-0000-0000070B0000}"/>
    <cellStyle name="Normal 2 5 4 4" xfId="4870" xr:uid="{00000000-0005-0000-0000-0000080B0000}"/>
    <cellStyle name="Normal 2 5 5" xfId="1154" xr:uid="{00000000-0005-0000-0000-0000090B0000}"/>
    <cellStyle name="Normal 2 5 5 2" xfId="3276" xr:uid="{00000000-0005-0000-0000-00000A0B0000}"/>
    <cellStyle name="Normal 2 5 5 2 2" xfId="7522" xr:uid="{00000000-0005-0000-0000-00000B0B0000}"/>
    <cellStyle name="Normal 2 5 5 3" xfId="5400" xr:uid="{00000000-0005-0000-0000-00000C0B0000}"/>
    <cellStyle name="Normal 2 5 6" xfId="2217" xr:uid="{00000000-0005-0000-0000-00000D0B0000}"/>
    <cellStyle name="Normal 2 5 6 2" xfId="6463" xr:uid="{00000000-0005-0000-0000-00000E0B0000}"/>
    <cellStyle name="Normal 2 5 7" xfId="4341" xr:uid="{00000000-0005-0000-0000-00000F0B0000}"/>
    <cellStyle name="Normal 2 6" xfId="51" xr:uid="{00000000-0005-0000-0000-0000100B0000}"/>
    <cellStyle name="Normal 2 6 2" xfId="183" xr:uid="{00000000-0005-0000-0000-0000110B0000}"/>
    <cellStyle name="Normal 2 6 2 2" xfId="446" xr:uid="{00000000-0005-0000-0000-0000120B0000}"/>
    <cellStyle name="Normal 2 6 2 2 2" xfId="976" xr:uid="{00000000-0005-0000-0000-0000130B0000}"/>
    <cellStyle name="Normal 2 6 2 2 2 2" xfId="2035" xr:uid="{00000000-0005-0000-0000-0000140B0000}"/>
    <cellStyle name="Normal 2 6 2 2 2 2 2" xfId="4157" xr:uid="{00000000-0005-0000-0000-0000150B0000}"/>
    <cellStyle name="Normal 2 6 2 2 2 2 2 2" xfId="8403" xr:uid="{00000000-0005-0000-0000-0000160B0000}"/>
    <cellStyle name="Normal 2 6 2 2 2 2 3" xfId="6281" xr:uid="{00000000-0005-0000-0000-0000170B0000}"/>
    <cellStyle name="Normal 2 6 2 2 2 3" xfId="3098" xr:uid="{00000000-0005-0000-0000-0000180B0000}"/>
    <cellStyle name="Normal 2 6 2 2 2 3 2" xfId="7344" xr:uid="{00000000-0005-0000-0000-0000190B0000}"/>
    <cellStyle name="Normal 2 6 2 2 2 4" xfId="5222" xr:uid="{00000000-0005-0000-0000-00001A0B0000}"/>
    <cellStyle name="Normal 2 6 2 2 3" xfId="1506" xr:uid="{00000000-0005-0000-0000-00001B0B0000}"/>
    <cellStyle name="Normal 2 6 2 2 3 2" xfId="3628" xr:uid="{00000000-0005-0000-0000-00001C0B0000}"/>
    <cellStyle name="Normal 2 6 2 2 3 2 2" xfId="7874" xr:uid="{00000000-0005-0000-0000-00001D0B0000}"/>
    <cellStyle name="Normal 2 6 2 2 3 3" xfId="5752" xr:uid="{00000000-0005-0000-0000-00001E0B0000}"/>
    <cellStyle name="Normal 2 6 2 2 4" xfId="2569" xr:uid="{00000000-0005-0000-0000-00001F0B0000}"/>
    <cellStyle name="Normal 2 6 2 2 4 2" xfId="6815" xr:uid="{00000000-0005-0000-0000-0000200B0000}"/>
    <cellStyle name="Normal 2 6 2 2 5" xfId="4693" xr:uid="{00000000-0005-0000-0000-0000210B0000}"/>
    <cellStyle name="Normal 2 6 2 3" xfId="713" xr:uid="{00000000-0005-0000-0000-0000220B0000}"/>
    <cellStyle name="Normal 2 6 2 3 2" xfId="1772" xr:uid="{00000000-0005-0000-0000-0000230B0000}"/>
    <cellStyle name="Normal 2 6 2 3 2 2" xfId="3894" xr:uid="{00000000-0005-0000-0000-0000240B0000}"/>
    <cellStyle name="Normal 2 6 2 3 2 2 2" xfId="8140" xr:uid="{00000000-0005-0000-0000-0000250B0000}"/>
    <cellStyle name="Normal 2 6 2 3 2 3" xfId="6018" xr:uid="{00000000-0005-0000-0000-0000260B0000}"/>
    <cellStyle name="Normal 2 6 2 3 3" xfId="2835" xr:uid="{00000000-0005-0000-0000-0000270B0000}"/>
    <cellStyle name="Normal 2 6 2 3 3 2" xfId="7081" xr:uid="{00000000-0005-0000-0000-0000280B0000}"/>
    <cellStyle name="Normal 2 6 2 3 4" xfId="4959" xr:uid="{00000000-0005-0000-0000-0000290B0000}"/>
    <cellStyle name="Normal 2 6 2 4" xfId="1243" xr:uid="{00000000-0005-0000-0000-00002A0B0000}"/>
    <cellStyle name="Normal 2 6 2 4 2" xfId="3365" xr:uid="{00000000-0005-0000-0000-00002B0B0000}"/>
    <cellStyle name="Normal 2 6 2 4 2 2" xfId="7611" xr:uid="{00000000-0005-0000-0000-00002C0B0000}"/>
    <cellStyle name="Normal 2 6 2 4 3" xfId="5489" xr:uid="{00000000-0005-0000-0000-00002D0B0000}"/>
    <cellStyle name="Normal 2 6 2 5" xfId="2306" xr:uid="{00000000-0005-0000-0000-00002E0B0000}"/>
    <cellStyle name="Normal 2 6 2 5 2" xfId="6552" xr:uid="{00000000-0005-0000-0000-00002F0B0000}"/>
    <cellStyle name="Normal 2 6 2 6" xfId="4430" xr:uid="{00000000-0005-0000-0000-0000300B0000}"/>
    <cellStyle name="Normal 2 6 3" xfId="315" xr:uid="{00000000-0005-0000-0000-0000310B0000}"/>
    <cellStyle name="Normal 2 6 3 2" xfId="845" xr:uid="{00000000-0005-0000-0000-0000320B0000}"/>
    <cellStyle name="Normal 2 6 3 2 2" xfId="1904" xr:uid="{00000000-0005-0000-0000-0000330B0000}"/>
    <cellStyle name="Normal 2 6 3 2 2 2" xfId="4026" xr:uid="{00000000-0005-0000-0000-0000340B0000}"/>
    <cellStyle name="Normal 2 6 3 2 2 2 2" xfId="8272" xr:uid="{00000000-0005-0000-0000-0000350B0000}"/>
    <cellStyle name="Normal 2 6 3 2 2 3" xfId="6150" xr:uid="{00000000-0005-0000-0000-0000360B0000}"/>
    <cellStyle name="Normal 2 6 3 2 3" xfId="2967" xr:uid="{00000000-0005-0000-0000-0000370B0000}"/>
    <cellStyle name="Normal 2 6 3 2 3 2" xfId="7213" xr:uid="{00000000-0005-0000-0000-0000380B0000}"/>
    <cellStyle name="Normal 2 6 3 2 4" xfId="5091" xr:uid="{00000000-0005-0000-0000-0000390B0000}"/>
    <cellStyle name="Normal 2 6 3 3" xfId="1375" xr:uid="{00000000-0005-0000-0000-00003A0B0000}"/>
    <cellStyle name="Normal 2 6 3 3 2" xfId="3497" xr:uid="{00000000-0005-0000-0000-00003B0B0000}"/>
    <cellStyle name="Normal 2 6 3 3 2 2" xfId="7743" xr:uid="{00000000-0005-0000-0000-00003C0B0000}"/>
    <cellStyle name="Normal 2 6 3 3 3" xfId="5621" xr:uid="{00000000-0005-0000-0000-00003D0B0000}"/>
    <cellStyle name="Normal 2 6 3 4" xfId="2438" xr:uid="{00000000-0005-0000-0000-00003E0B0000}"/>
    <cellStyle name="Normal 2 6 3 4 2" xfId="6684" xr:uid="{00000000-0005-0000-0000-00003F0B0000}"/>
    <cellStyle name="Normal 2 6 3 5" xfId="4562" xr:uid="{00000000-0005-0000-0000-0000400B0000}"/>
    <cellStyle name="Normal 2 6 4" xfId="582" xr:uid="{00000000-0005-0000-0000-0000410B0000}"/>
    <cellStyle name="Normal 2 6 4 2" xfId="1641" xr:uid="{00000000-0005-0000-0000-0000420B0000}"/>
    <cellStyle name="Normal 2 6 4 2 2" xfId="3763" xr:uid="{00000000-0005-0000-0000-0000430B0000}"/>
    <cellStyle name="Normal 2 6 4 2 2 2" xfId="8009" xr:uid="{00000000-0005-0000-0000-0000440B0000}"/>
    <cellStyle name="Normal 2 6 4 2 3" xfId="5887" xr:uid="{00000000-0005-0000-0000-0000450B0000}"/>
    <cellStyle name="Normal 2 6 4 3" xfId="2704" xr:uid="{00000000-0005-0000-0000-0000460B0000}"/>
    <cellStyle name="Normal 2 6 4 3 2" xfId="6950" xr:uid="{00000000-0005-0000-0000-0000470B0000}"/>
    <cellStyle name="Normal 2 6 4 4" xfId="4828" xr:uid="{00000000-0005-0000-0000-0000480B0000}"/>
    <cellStyle name="Normal 2 6 5" xfId="1112" xr:uid="{00000000-0005-0000-0000-0000490B0000}"/>
    <cellStyle name="Normal 2 6 5 2" xfId="3234" xr:uid="{00000000-0005-0000-0000-00004A0B0000}"/>
    <cellStyle name="Normal 2 6 5 2 2" xfId="7480" xr:uid="{00000000-0005-0000-0000-00004B0B0000}"/>
    <cellStyle name="Normal 2 6 5 3" xfId="5358" xr:uid="{00000000-0005-0000-0000-00004C0B0000}"/>
    <cellStyle name="Normal 2 6 6" xfId="2175" xr:uid="{00000000-0005-0000-0000-00004D0B0000}"/>
    <cellStyle name="Normal 2 6 6 2" xfId="6421" xr:uid="{00000000-0005-0000-0000-00004E0B0000}"/>
    <cellStyle name="Normal 2 6 7" xfId="4299" xr:uid="{00000000-0005-0000-0000-00004F0B0000}"/>
    <cellStyle name="Normal 2 7" xfId="139" xr:uid="{00000000-0005-0000-0000-0000500B0000}"/>
    <cellStyle name="Normal 2 7 2" xfId="402" xr:uid="{00000000-0005-0000-0000-0000510B0000}"/>
    <cellStyle name="Normal 2 7 2 2" xfId="932" xr:uid="{00000000-0005-0000-0000-0000520B0000}"/>
    <cellStyle name="Normal 2 7 2 2 2" xfId="1991" xr:uid="{00000000-0005-0000-0000-0000530B0000}"/>
    <cellStyle name="Normal 2 7 2 2 2 2" xfId="4113" xr:uid="{00000000-0005-0000-0000-0000540B0000}"/>
    <cellStyle name="Normal 2 7 2 2 2 2 2" xfId="8359" xr:uid="{00000000-0005-0000-0000-0000550B0000}"/>
    <cellStyle name="Normal 2 7 2 2 2 3" xfId="6237" xr:uid="{00000000-0005-0000-0000-0000560B0000}"/>
    <cellStyle name="Normal 2 7 2 2 3" xfId="3054" xr:uid="{00000000-0005-0000-0000-0000570B0000}"/>
    <cellStyle name="Normal 2 7 2 2 3 2" xfId="7300" xr:uid="{00000000-0005-0000-0000-0000580B0000}"/>
    <cellStyle name="Normal 2 7 2 2 4" xfId="5178" xr:uid="{00000000-0005-0000-0000-0000590B0000}"/>
    <cellStyle name="Normal 2 7 2 3" xfId="1462" xr:uid="{00000000-0005-0000-0000-00005A0B0000}"/>
    <cellStyle name="Normal 2 7 2 3 2" xfId="3584" xr:uid="{00000000-0005-0000-0000-00005B0B0000}"/>
    <cellStyle name="Normal 2 7 2 3 2 2" xfId="7830" xr:uid="{00000000-0005-0000-0000-00005C0B0000}"/>
    <cellStyle name="Normal 2 7 2 3 3" xfId="5708" xr:uid="{00000000-0005-0000-0000-00005D0B0000}"/>
    <cellStyle name="Normal 2 7 2 4" xfId="2525" xr:uid="{00000000-0005-0000-0000-00005E0B0000}"/>
    <cellStyle name="Normal 2 7 2 4 2" xfId="6771" xr:uid="{00000000-0005-0000-0000-00005F0B0000}"/>
    <cellStyle name="Normal 2 7 2 5" xfId="4649" xr:uid="{00000000-0005-0000-0000-0000600B0000}"/>
    <cellStyle name="Normal 2 7 3" xfId="669" xr:uid="{00000000-0005-0000-0000-0000610B0000}"/>
    <cellStyle name="Normal 2 7 3 2" xfId="1728" xr:uid="{00000000-0005-0000-0000-0000620B0000}"/>
    <cellStyle name="Normal 2 7 3 2 2" xfId="3850" xr:uid="{00000000-0005-0000-0000-0000630B0000}"/>
    <cellStyle name="Normal 2 7 3 2 2 2" xfId="8096" xr:uid="{00000000-0005-0000-0000-0000640B0000}"/>
    <cellStyle name="Normal 2 7 3 2 3" xfId="5974" xr:uid="{00000000-0005-0000-0000-0000650B0000}"/>
    <cellStyle name="Normal 2 7 3 3" xfId="2791" xr:uid="{00000000-0005-0000-0000-0000660B0000}"/>
    <cellStyle name="Normal 2 7 3 3 2" xfId="7037" xr:uid="{00000000-0005-0000-0000-0000670B0000}"/>
    <cellStyle name="Normal 2 7 3 4" xfId="4915" xr:uid="{00000000-0005-0000-0000-0000680B0000}"/>
    <cellStyle name="Normal 2 7 4" xfId="1199" xr:uid="{00000000-0005-0000-0000-0000690B0000}"/>
    <cellStyle name="Normal 2 7 4 2" xfId="3321" xr:uid="{00000000-0005-0000-0000-00006A0B0000}"/>
    <cellStyle name="Normal 2 7 4 2 2" xfId="7567" xr:uid="{00000000-0005-0000-0000-00006B0B0000}"/>
    <cellStyle name="Normal 2 7 4 3" xfId="5445" xr:uid="{00000000-0005-0000-0000-00006C0B0000}"/>
    <cellStyle name="Normal 2 7 5" xfId="2262" xr:uid="{00000000-0005-0000-0000-00006D0B0000}"/>
    <cellStyle name="Normal 2 7 5 2" xfId="6508" xr:uid="{00000000-0005-0000-0000-00006E0B0000}"/>
    <cellStyle name="Normal 2 7 6" xfId="4386" xr:uid="{00000000-0005-0000-0000-00006F0B0000}"/>
    <cellStyle name="Normal 2 8" xfId="271" xr:uid="{00000000-0005-0000-0000-0000700B0000}"/>
    <cellStyle name="Normal 2 8 2" xfId="801" xr:uid="{00000000-0005-0000-0000-0000710B0000}"/>
    <cellStyle name="Normal 2 8 2 2" xfId="1860" xr:uid="{00000000-0005-0000-0000-0000720B0000}"/>
    <cellStyle name="Normal 2 8 2 2 2" xfId="3982" xr:uid="{00000000-0005-0000-0000-0000730B0000}"/>
    <cellStyle name="Normal 2 8 2 2 2 2" xfId="8228" xr:uid="{00000000-0005-0000-0000-0000740B0000}"/>
    <cellStyle name="Normal 2 8 2 2 3" xfId="6106" xr:uid="{00000000-0005-0000-0000-0000750B0000}"/>
    <cellStyle name="Normal 2 8 2 3" xfId="2923" xr:uid="{00000000-0005-0000-0000-0000760B0000}"/>
    <cellStyle name="Normal 2 8 2 3 2" xfId="7169" xr:uid="{00000000-0005-0000-0000-0000770B0000}"/>
    <cellStyle name="Normal 2 8 2 4" xfId="5047" xr:uid="{00000000-0005-0000-0000-0000780B0000}"/>
    <cellStyle name="Normal 2 8 3" xfId="1331" xr:uid="{00000000-0005-0000-0000-0000790B0000}"/>
    <cellStyle name="Normal 2 8 3 2" xfId="3453" xr:uid="{00000000-0005-0000-0000-00007A0B0000}"/>
    <cellStyle name="Normal 2 8 3 2 2" xfId="7699" xr:uid="{00000000-0005-0000-0000-00007B0B0000}"/>
    <cellStyle name="Normal 2 8 3 3" xfId="5577" xr:uid="{00000000-0005-0000-0000-00007C0B0000}"/>
    <cellStyle name="Normal 2 8 4" xfId="2394" xr:uid="{00000000-0005-0000-0000-00007D0B0000}"/>
    <cellStyle name="Normal 2 8 4 2" xfId="6640" xr:uid="{00000000-0005-0000-0000-00007E0B0000}"/>
    <cellStyle name="Normal 2 8 5" xfId="4518" xr:uid="{00000000-0005-0000-0000-00007F0B0000}"/>
    <cellStyle name="Normal 2 9" xfId="536" xr:uid="{00000000-0005-0000-0000-0000800B0000}"/>
    <cellStyle name="Normal 2 9 2" xfId="1596" xr:uid="{00000000-0005-0000-0000-0000810B0000}"/>
    <cellStyle name="Normal 2 9 2 2" xfId="3718" xr:uid="{00000000-0005-0000-0000-0000820B0000}"/>
    <cellStyle name="Normal 2 9 2 2 2" xfId="7964" xr:uid="{00000000-0005-0000-0000-0000830B0000}"/>
    <cellStyle name="Normal 2 9 2 3" xfId="5842" xr:uid="{00000000-0005-0000-0000-0000840B0000}"/>
    <cellStyle name="Normal 2 9 3" xfId="2659" xr:uid="{00000000-0005-0000-0000-0000850B0000}"/>
    <cellStyle name="Normal 2 9 3 2" xfId="6905" xr:uid="{00000000-0005-0000-0000-0000860B0000}"/>
    <cellStyle name="Normal 2 9 4" xfId="4783" xr:uid="{00000000-0005-0000-0000-0000870B0000}"/>
    <cellStyle name="Normal 20" xfId="137" xr:uid="{00000000-0005-0000-0000-0000880B0000}"/>
    <cellStyle name="Normal 20 2" xfId="268" xr:uid="{00000000-0005-0000-0000-0000890B0000}"/>
    <cellStyle name="Normal 20 2 2" xfId="531" xr:uid="{00000000-0005-0000-0000-00008A0B0000}"/>
    <cellStyle name="Normal 20 2 2 2" xfId="1061" xr:uid="{00000000-0005-0000-0000-00008B0B0000}"/>
    <cellStyle name="Normal 20 2 2 2 2" xfId="2120" xr:uid="{00000000-0005-0000-0000-00008C0B0000}"/>
    <cellStyle name="Normal 20 2 2 2 2 2" xfId="4242" xr:uid="{00000000-0005-0000-0000-00008D0B0000}"/>
    <cellStyle name="Normal 20 2 2 2 2 2 2" xfId="8488" xr:uid="{00000000-0005-0000-0000-00008E0B0000}"/>
    <cellStyle name="Normal 20 2 2 2 2 3" xfId="6366" xr:uid="{00000000-0005-0000-0000-00008F0B0000}"/>
    <cellStyle name="Normal 20 2 2 2 3" xfId="3183" xr:uid="{00000000-0005-0000-0000-0000900B0000}"/>
    <cellStyle name="Normal 20 2 2 2 3 2" xfId="7429" xr:uid="{00000000-0005-0000-0000-0000910B0000}"/>
    <cellStyle name="Normal 20 2 2 2 4" xfId="5307" xr:uid="{00000000-0005-0000-0000-0000920B0000}"/>
    <cellStyle name="Normal 20 2 2 3" xfId="1591" xr:uid="{00000000-0005-0000-0000-0000930B0000}"/>
    <cellStyle name="Normal 20 2 2 3 2" xfId="3713" xr:uid="{00000000-0005-0000-0000-0000940B0000}"/>
    <cellStyle name="Normal 20 2 2 3 2 2" xfId="7959" xr:uid="{00000000-0005-0000-0000-0000950B0000}"/>
    <cellStyle name="Normal 20 2 2 3 3" xfId="5837" xr:uid="{00000000-0005-0000-0000-0000960B0000}"/>
    <cellStyle name="Normal 20 2 2 4" xfId="2654" xr:uid="{00000000-0005-0000-0000-0000970B0000}"/>
    <cellStyle name="Normal 20 2 2 4 2" xfId="6900" xr:uid="{00000000-0005-0000-0000-0000980B0000}"/>
    <cellStyle name="Normal 20 2 2 5" xfId="4778" xr:uid="{00000000-0005-0000-0000-0000990B0000}"/>
    <cellStyle name="Normal 20 2 3" xfId="798" xr:uid="{00000000-0005-0000-0000-00009A0B0000}"/>
    <cellStyle name="Normal 20 2 3 2" xfId="1857" xr:uid="{00000000-0005-0000-0000-00009B0B0000}"/>
    <cellStyle name="Normal 20 2 3 2 2" xfId="3979" xr:uid="{00000000-0005-0000-0000-00009C0B0000}"/>
    <cellStyle name="Normal 20 2 3 2 2 2" xfId="8225" xr:uid="{00000000-0005-0000-0000-00009D0B0000}"/>
    <cellStyle name="Normal 20 2 3 2 3" xfId="6103" xr:uid="{00000000-0005-0000-0000-00009E0B0000}"/>
    <cellStyle name="Normal 20 2 3 3" xfId="2920" xr:uid="{00000000-0005-0000-0000-00009F0B0000}"/>
    <cellStyle name="Normal 20 2 3 3 2" xfId="7166" xr:uid="{00000000-0005-0000-0000-0000A00B0000}"/>
    <cellStyle name="Normal 20 2 3 4" xfId="5044" xr:uid="{00000000-0005-0000-0000-0000A10B0000}"/>
    <cellStyle name="Normal 20 2 4" xfId="1328" xr:uid="{00000000-0005-0000-0000-0000A20B0000}"/>
    <cellStyle name="Normal 20 2 4 2" xfId="3450" xr:uid="{00000000-0005-0000-0000-0000A30B0000}"/>
    <cellStyle name="Normal 20 2 4 2 2" xfId="7696" xr:uid="{00000000-0005-0000-0000-0000A40B0000}"/>
    <cellStyle name="Normal 20 2 4 3" xfId="5574" xr:uid="{00000000-0005-0000-0000-0000A50B0000}"/>
    <cellStyle name="Normal 20 2 5" xfId="2391" xr:uid="{00000000-0005-0000-0000-0000A60B0000}"/>
    <cellStyle name="Normal 20 2 5 2" xfId="6637" xr:uid="{00000000-0005-0000-0000-0000A70B0000}"/>
    <cellStyle name="Normal 20 2 6" xfId="4515" xr:uid="{00000000-0005-0000-0000-0000A80B0000}"/>
    <cellStyle name="Normal 20 3" xfId="400" xr:uid="{00000000-0005-0000-0000-0000A90B0000}"/>
    <cellStyle name="Normal 20 3 2" xfId="930" xr:uid="{00000000-0005-0000-0000-0000AA0B0000}"/>
    <cellStyle name="Normal 20 3 2 2" xfId="1989" xr:uid="{00000000-0005-0000-0000-0000AB0B0000}"/>
    <cellStyle name="Normal 20 3 2 2 2" xfId="4111" xr:uid="{00000000-0005-0000-0000-0000AC0B0000}"/>
    <cellStyle name="Normal 20 3 2 2 2 2" xfId="8357" xr:uid="{00000000-0005-0000-0000-0000AD0B0000}"/>
    <cellStyle name="Normal 20 3 2 2 3" xfId="6235" xr:uid="{00000000-0005-0000-0000-0000AE0B0000}"/>
    <cellStyle name="Normal 20 3 2 3" xfId="3052" xr:uid="{00000000-0005-0000-0000-0000AF0B0000}"/>
    <cellStyle name="Normal 20 3 2 3 2" xfId="7298" xr:uid="{00000000-0005-0000-0000-0000B00B0000}"/>
    <cellStyle name="Normal 20 3 2 4" xfId="5176" xr:uid="{00000000-0005-0000-0000-0000B10B0000}"/>
    <cellStyle name="Normal 20 3 3" xfId="1460" xr:uid="{00000000-0005-0000-0000-0000B20B0000}"/>
    <cellStyle name="Normal 20 3 3 2" xfId="3582" xr:uid="{00000000-0005-0000-0000-0000B30B0000}"/>
    <cellStyle name="Normal 20 3 3 2 2" xfId="7828" xr:uid="{00000000-0005-0000-0000-0000B40B0000}"/>
    <cellStyle name="Normal 20 3 3 3" xfId="5706" xr:uid="{00000000-0005-0000-0000-0000B50B0000}"/>
    <cellStyle name="Normal 20 3 4" xfId="2523" xr:uid="{00000000-0005-0000-0000-0000B60B0000}"/>
    <cellStyle name="Normal 20 3 4 2" xfId="6769" xr:uid="{00000000-0005-0000-0000-0000B70B0000}"/>
    <cellStyle name="Normal 20 3 5" xfId="4647" xr:uid="{00000000-0005-0000-0000-0000B80B0000}"/>
    <cellStyle name="Normal 20 4" xfId="667" xr:uid="{00000000-0005-0000-0000-0000B90B0000}"/>
    <cellStyle name="Normal 20 4 2" xfId="1726" xr:uid="{00000000-0005-0000-0000-0000BA0B0000}"/>
    <cellStyle name="Normal 20 4 2 2" xfId="3848" xr:uid="{00000000-0005-0000-0000-0000BB0B0000}"/>
    <cellStyle name="Normal 20 4 2 2 2" xfId="8094" xr:uid="{00000000-0005-0000-0000-0000BC0B0000}"/>
    <cellStyle name="Normal 20 4 2 3" xfId="5972" xr:uid="{00000000-0005-0000-0000-0000BD0B0000}"/>
    <cellStyle name="Normal 20 4 3" xfId="2789" xr:uid="{00000000-0005-0000-0000-0000BE0B0000}"/>
    <cellStyle name="Normal 20 4 3 2" xfId="7035" xr:uid="{00000000-0005-0000-0000-0000BF0B0000}"/>
    <cellStyle name="Normal 20 4 4" xfId="4913" xr:uid="{00000000-0005-0000-0000-0000C00B0000}"/>
    <cellStyle name="Normal 20 5" xfId="1197" xr:uid="{00000000-0005-0000-0000-0000C10B0000}"/>
    <cellStyle name="Normal 20 5 2" xfId="3319" xr:uid="{00000000-0005-0000-0000-0000C20B0000}"/>
    <cellStyle name="Normal 20 5 2 2" xfId="7565" xr:uid="{00000000-0005-0000-0000-0000C30B0000}"/>
    <cellStyle name="Normal 20 5 3" xfId="5443" xr:uid="{00000000-0005-0000-0000-0000C40B0000}"/>
    <cellStyle name="Normal 20 6" xfId="2260" xr:uid="{00000000-0005-0000-0000-0000C50B0000}"/>
    <cellStyle name="Normal 20 6 2" xfId="6506" xr:uid="{00000000-0005-0000-0000-0000C60B0000}"/>
    <cellStyle name="Normal 20 7" xfId="4384" xr:uid="{00000000-0005-0000-0000-0000C70B0000}"/>
    <cellStyle name="Normal 21" xfId="138" xr:uid="{00000000-0005-0000-0000-0000C80B0000}"/>
    <cellStyle name="Normal 21 2" xfId="401" xr:uid="{00000000-0005-0000-0000-0000C90B0000}"/>
    <cellStyle name="Normal 21 2 2" xfId="931" xr:uid="{00000000-0005-0000-0000-0000CA0B0000}"/>
    <cellStyle name="Normal 21 2 2 2" xfId="1990" xr:uid="{00000000-0005-0000-0000-0000CB0B0000}"/>
    <cellStyle name="Normal 21 2 2 2 2" xfId="4112" xr:uid="{00000000-0005-0000-0000-0000CC0B0000}"/>
    <cellStyle name="Normal 21 2 2 2 2 2" xfId="8358" xr:uid="{00000000-0005-0000-0000-0000CD0B0000}"/>
    <cellStyle name="Normal 21 2 2 2 3" xfId="6236" xr:uid="{00000000-0005-0000-0000-0000CE0B0000}"/>
    <cellStyle name="Normal 21 2 2 3" xfId="3053" xr:uid="{00000000-0005-0000-0000-0000CF0B0000}"/>
    <cellStyle name="Normal 21 2 2 3 2" xfId="7299" xr:uid="{00000000-0005-0000-0000-0000D00B0000}"/>
    <cellStyle name="Normal 21 2 2 4" xfId="5177" xr:uid="{00000000-0005-0000-0000-0000D10B0000}"/>
    <cellStyle name="Normal 21 2 3" xfId="1461" xr:uid="{00000000-0005-0000-0000-0000D20B0000}"/>
    <cellStyle name="Normal 21 2 3 2" xfId="3583" xr:uid="{00000000-0005-0000-0000-0000D30B0000}"/>
    <cellStyle name="Normal 21 2 3 2 2" xfId="7829" xr:uid="{00000000-0005-0000-0000-0000D40B0000}"/>
    <cellStyle name="Normal 21 2 3 3" xfId="5707" xr:uid="{00000000-0005-0000-0000-0000D50B0000}"/>
    <cellStyle name="Normal 21 2 4" xfId="2524" xr:uid="{00000000-0005-0000-0000-0000D60B0000}"/>
    <cellStyle name="Normal 21 2 4 2" xfId="6770" xr:uid="{00000000-0005-0000-0000-0000D70B0000}"/>
    <cellStyle name="Normal 21 2 5" xfId="4648" xr:uid="{00000000-0005-0000-0000-0000D80B0000}"/>
    <cellStyle name="Normal 21 3" xfId="668" xr:uid="{00000000-0005-0000-0000-0000D90B0000}"/>
    <cellStyle name="Normal 21 3 2" xfId="1727" xr:uid="{00000000-0005-0000-0000-0000DA0B0000}"/>
    <cellStyle name="Normal 21 3 2 2" xfId="3849" xr:uid="{00000000-0005-0000-0000-0000DB0B0000}"/>
    <cellStyle name="Normal 21 3 2 2 2" xfId="8095" xr:uid="{00000000-0005-0000-0000-0000DC0B0000}"/>
    <cellStyle name="Normal 21 3 2 3" xfId="5973" xr:uid="{00000000-0005-0000-0000-0000DD0B0000}"/>
    <cellStyle name="Normal 21 3 3" xfId="2790" xr:uid="{00000000-0005-0000-0000-0000DE0B0000}"/>
    <cellStyle name="Normal 21 3 3 2" xfId="7036" xr:uid="{00000000-0005-0000-0000-0000DF0B0000}"/>
    <cellStyle name="Normal 21 3 4" xfId="4914" xr:uid="{00000000-0005-0000-0000-0000E00B0000}"/>
    <cellStyle name="Normal 21 4" xfId="1198" xr:uid="{00000000-0005-0000-0000-0000E10B0000}"/>
    <cellStyle name="Normal 21 4 2" xfId="3320" xr:uid="{00000000-0005-0000-0000-0000E20B0000}"/>
    <cellStyle name="Normal 21 4 2 2" xfId="7566" xr:uid="{00000000-0005-0000-0000-0000E30B0000}"/>
    <cellStyle name="Normal 21 4 3" xfId="5444" xr:uid="{00000000-0005-0000-0000-0000E40B0000}"/>
    <cellStyle name="Normal 21 5" xfId="2261" xr:uid="{00000000-0005-0000-0000-0000E50B0000}"/>
    <cellStyle name="Normal 21 5 2" xfId="6507" xr:uid="{00000000-0005-0000-0000-0000E60B0000}"/>
    <cellStyle name="Normal 21 6" xfId="4385" xr:uid="{00000000-0005-0000-0000-0000E70B0000}"/>
    <cellStyle name="Normal 22" xfId="270" xr:uid="{00000000-0005-0000-0000-0000E80B0000}"/>
    <cellStyle name="Normal 22 2" xfId="800" xr:uid="{00000000-0005-0000-0000-0000E90B0000}"/>
    <cellStyle name="Normal 22 2 2" xfId="1859" xr:uid="{00000000-0005-0000-0000-0000EA0B0000}"/>
    <cellStyle name="Normal 22 2 2 2" xfId="3981" xr:uid="{00000000-0005-0000-0000-0000EB0B0000}"/>
    <cellStyle name="Normal 22 2 2 2 2" xfId="8227" xr:uid="{00000000-0005-0000-0000-0000EC0B0000}"/>
    <cellStyle name="Normal 22 2 2 3" xfId="6105" xr:uid="{00000000-0005-0000-0000-0000ED0B0000}"/>
    <cellStyle name="Normal 22 2 3" xfId="2922" xr:uid="{00000000-0005-0000-0000-0000EE0B0000}"/>
    <cellStyle name="Normal 22 2 3 2" xfId="7168" xr:uid="{00000000-0005-0000-0000-0000EF0B0000}"/>
    <cellStyle name="Normal 22 2 4" xfId="5046" xr:uid="{00000000-0005-0000-0000-0000F00B0000}"/>
    <cellStyle name="Normal 22 3" xfId="1330" xr:uid="{00000000-0005-0000-0000-0000F10B0000}"/>
    <cellStyle name="Normal 22 3 2" xfId="3452" xr:uid="{00000000-0005-0000-0000-0000F20B0000}"/>
    <cellStyle name="Normal 22 3 2 2" xfId="7698" xr:uid="{00000000-0005-0000-0000-0000F30B0000}"/>
    <cellStyle name="Normal 22 3 3" xfId="5576" xr:uid="{00000000-0005-0000-0000-0000F40B0000}"/>
    <cellStyle name="Normal 22 4" xfId="2393" xr:uid="{00000000-0005-0000-0000-0000F50B0000}"/>
    <cellStyle name="Normal 22 4 2" xfId="6639" xr:uid="{00000000-0005-0000-0000-0000F60B0000}"/>
    <cellStyle name="Normal 22 5" xfId="4517" xr:uid="{00000000-0005-0000-0000-0000F70B0000}"/>
    <cellStyle name="Normal 23" xfId="269" xr:uid="{00000000-0005-0000-0000-0000F80B0000}"/>
    <cellStyle name="Normal 23 2" xfId="799" xr:uid="{00000000-0005-0000-0000-0000F90B0000}"/>
    <cellStyle name="Normal 23 2 2" xfId="1858" xr:uid="{00000000-0005-0000-0000-0000FA0B0000}"/>
    <cellStyle name="Normal 23 2 2 2" xfId="3980" xr:uid="{00000000-0005-0000-0000-0000FB0B0000}"/>
    <cellStyle name="Normal 23 2 2 2 2" xfId="8226" xr:uid="{00000000-0005-0000-0000-0000FC0B0000}"/>
    <cellStyle name="Normal 23 2 2 3" xfId="6104" xr:uid="{00000000-0005-0000-0000-0000FD0B0000}"/>
    <cellStyle name="Normal 23 2 3" xfId="2921" xr:uid="{00000000-0005-0000-0000-0000FE0B0000}"/>
    <cellStyle name="Normal 23 2 3 2" xfId="7167" xr:uid="{00000000-0005-0000-0000-0000FF0B0000}"/>
    <cellStyle name="Normal 23 2 4" xfId="5045" xr:uid="{00000000-0005-0000-0000-0000000C0000}"/>
    <cellStyle name="Normal 23 3" xfId="1329" xr:uid="{00000000-0005-0000-0000-0000010C0000}"/>
    <cellStyle name="Normal 23 3 2" xfId="3451" xr:uid="{00000000-0005-0000-0000-0000020C0000}"/>
    <cellStyle name="Normal 23 3 2 2" xfId="7697" xr:uid="{00000000-0005-0000-0000-0000030C0000}"/>
    <cellStyle name="Normal 23 3 3" xfId="5575" xr:uid="{00000000-0005-0000-0000-0000040C0000}"/>
    <cellStyle name="Normal 23 4" xfId="2392" xr:uid="{00000000-0005-0000-0000-0000050C0000}"/>
    <cellStyle name="Normal 23 4 2" xfId="6638" xr:uid="{00000000-0005-0000-0000-0000060C0000}"/>
    <cellStyle name="Normal 23 5" xfId="4516" xr:uid="{00000000-0005-0000-0000-0000070C0000}"/>
    <cellStyle name="Normal 24" xfId="532" xr:uid="{00000000-0005-0000-0000-0000080C0000}"/>
    <cellStyle name="Normal 24 2" xfId="1062" xr:uid="{00000000-0005-0000-0000-0000090C0000}"/>
    <cellStyle name="Normal 24 2 2" xfId="2121" xr:uid="{00000000-0005-0000-0000-00000A0C0000}"/>
    <cellStyle name="Normal 24 2 2 2" xfId="4243" xr:uid="{00000000-0005-0000-0000-00000B0C0000}"/>
    <cellStyle name="Normal 24 2 2 2 2" xfId="8489" xr:uid="{00000000-0005-0000-0000-00000C0C0000}"/>
    <cellStyle name="Normal 24 2 2 3" xfId="6367" xr:uid="{00000000-0005-0000-0000-00000D0C0000}"/>
    <cellStyle name="Normal 24 2 3" xfId="3184" xr:uid="{00000000-0005-0000-0000-00000E0C0000}"/>
    <cellStyle name="Normal 24 2 3 2" xfId="7430" xr:uid="{00000000-0005-0000-0000-00000F0C0000}"/>
    <cellStyle name="Normal 24 2 4" xfId="5308" xr:uid="{00000000-0005-0000-0000-0000100C0000}"/>
    <cellStyle name="Normal 24 3" xfId="1592" xr:uid="{00000000-0005-0000-0000-0000110C0000}"/>
    <cellStyle name="Normal 24 3 2" xfId="3714" xr:uid="{00000000-0005-0000-0000-0000120C0000}"/>
    <cellStyle name="Normal 24 3 2 2" xfId="7960" xr:uid="{00000000-0005-0000-0000-0000130C0000}"/>
    <cellStyle name="Normal 24 3 3" xfId="5838" xr:uid="{00000000-0005-0000-0000-0000140C0000}"/>
    <cellStyle name="Normal 24 4" xfId="2655" xr:uid="{00000000-0005-0000-0000-0000150C0000}"/>
    <cellStyle name="Normal 24 4 2" xfId="6901" xr:uid="{00000000-0005-0000-0000-0000160C0000}"/>
    <cellStyle name="Normal 24 5" xfId="4779" xr:uid="{00000000-0005-0000-0000-0000170C0000}"/>
    <cellStyle name="Normal 25" xfId="533" xr:uid="{00000000-0005-0000-0000-0000180C0000}"/>
    <cellStyle name="Normal 25 2" xfId="1063" xr:uid="{00000000-0005-0000-0000-0000190C0000}"/>
    <cellStyle name="Normal 25 2 2" xfId="2122" xr:uid="{00000000-0005-0000-0000-00001A0C0000}"/>
    <cellStyle name="Normal 25 2 2 2" xfId="4244" xr:uid="{00000000-0005-0000-0000-00001B0C0000}"/>
    <cellStyle name="Normal 25 2 2 2 2" xfId="8490" xr:uid="{00000000-0005-0000-0000-00001C0C0000}"/>
    <cellStyle name="Normal 25 2 2 3" xfId="6368" xr:uid="{00000000-0005-0000-0000-00001D0C0000}"/>
    <cellStyle name="Normal 25 2 3" xfId="3185" xr:uid="{00000000-0005-0000-0000-00001E0C0000}"/>
    <cellStyle name="Normal 25 2 3 2" xfId="7431" xr:uid="{00000000-0005-0000-0000-00001F0C0000}"/>
    <cellStyle name="Normal 25 2 4" xfId="5309" xr:uid="{00000000-0005-0000-0000-0000200C0000}"/>
    <cellStyle name="Normal 25 3" xfId="1593" xr:uid="{00000000-0005-0000-0000-0000210C0000}"/>
    <cellStyle name="Normal 25 3 2" xfId="3715" xr:uid="{00000000-0005-0000-0000-0000220C0000}"/>
    <cellStyle name="Normal 25 3 2 2" xfId="7961" xr:uid="{00000000-0005-0000-0000-0000230C0000}"/>
    <cellStyle name="Normal 25 3 3" xfId="5839" xr:uid="{00000000-0005-0000-0000-0000240C0000}"/>
    <cellStyle name="Normal 25 4" xfId="2656" xr:uid="{00000000-0005-0000-0000-0000250C0000}"/>
    <cellStyle name="Normal 25 4 2" xfId="6902" xr:uid="{00000000-0005-0000-0000-0000260C0000}"/>
    <cellStyle name="Normal 25 5" xfId="4780" xr:uid="{00000000-0005-0000-0000-0000270C0000}"/>
    <cellStyle name="Normal 26" xfId="534" xr:uid="{00000000-0005-0000-0000-0000280C0000}"/>
    <cellStyle name="Normal 26 2" xfId="1594" xr:uid="{00000000-0005-0000-0000-0000290C0000}"/>
    <cellStyle name="Normal 26 2 2" xfId="3716" xr:uid="{00000000-0005-0000-0000-00002A0C0000}"/>
    <cellStyle name="Normal 26 2 2 2" xfId="7962" xr:uid="{00000000-0005-0000-0000-00002B0C0000}"/>
    <cellStyle name="Normal 26 2 2 2 2" xfId="8531" xr:uid="{00000000-0005-0000-0000-00002C0C0000}"/>
    <cellStyle name="Normal 26 2 2 2 2 2" xfId="8602" xr:uid="{00000000-0005-0000-0000-00002D0C0000}"/>
    <cellStyle name="Normal 26 2 2 2 2 2 2" xfId="8608" xr:uid="{00000000-0005-0000-0000-00002E0C0000}"/>
    <cellStyle name="Normal 26 2 2 2 3" xfId="8567" xr:uid="{00000000-0005-0000-0000-00002F0C0000}"/>
    <cellStyle name="Normal 26 2 2 3" xfId="8514" xr:uid="{00000000-0005-0000-0000-0000300C0000}"/>
    <cellStyle name="Normal 26 2 2 3 2" xfId="8585" xr:uid="{00000000-0005-0000-0000-0000310C0000}"/>
    <cellStyle name="Normal 26 2 2 4" xfId="8550" xr:uid="{00000000-0005-0000-0000-0000320C0000}"/>
    <cellStyle name="Normal 26 2 3" xfId="5840" xr:uid="{00000000-0005-0000-0000-0000330C0000}"/>
    <cellStyle name="Normal 26 2 3 2" xfId="8523" xr:uid="{00000000-0005-0000-0000-0000340C0000}"/>
    <cellStyle name="Normal 26 2 3 2 2" xfId="8594" xr:uid="{00000000-0005-0000-0000-0000350C0000}"/>
    <cellStyle name="Normal 26 2 3 3" xfId="8559" xr:uid="{00000000-0005-0000-0000-0000360C0000}"/>
    <cellStyle name="Normal 26 2 4" xfId="8505" xr:uid="{00000000-0005-0000-0000-0000370C0000}"/>
    <cellStyle name="Normal 26 2 4 2" xfId="8576" xr:uid="{00000000-0005-0000-0000-0000380C0000}"/>
    <cellStyle name="Normal 26 2 5" xfId="8542" xr:uid="{00000000-0005-0000-0000-0000390C0000}"/>
    <cellStyle name="Normal 26 3" xfId="2657" xr:uid="{00000000-0005-0000-0000-00003A0C0000}"/>
    <cellStyle name="Normal 26 3 2" xfId="6903" xr:uid="{00000000-0005-0000-0000-00003B0C0000}"/>
    <cellStyle name="Normal 26 3 2 2" xfId="8527" xr:uid="{00000000-0005-0000-0000-00003C0C0000}"/>
    <cellStyle name="Normal 26 3 2 2 2" xfId="8598" xr:uid="{00000000-0005-0000-0000-00003D0C0000}"/>
    <cellStyle name="Normal 26 3 2 3" xfId="8563" xr:uid="{00000000-0005-0000-0000-00003E0C0000}"/>
    <cellStyle name="Normal 26 3 3" xfId="8510" xr:uid="{00000000-0005-0000-0000-00003F0C0000}"/>
    <cellStyle name="Normal 26 3 3 2" xfId="8581" xr:uid="{00000000-0005-0000-0000-0000400C0000}"/>
    <cellStyle name="Normal 26 3 4" xfId="8546" xr:uid="{00000000-0005-0000-0000-0000410C0000}"/>
    <cellStyle name="Normal 26 4" xfId="4781" xr:uid="{00000000-0005-0000-0000-0000420C0000}"/>
    <cellStyle name="Normal 26 4 2" xfId="8519" xr:uid="{00000000-0005-0000-0000-0000430C0000}"/>
    <cellStyle name="Normal 26 4 2 2" xfId="8590" xr:uid="{00000000-0005-0000-0000-0000440C0000}"/>
    <cellStyle name="Normal 26 4 3" xfId="8555" xr:uid="{00000000-0005-0000-0000-0000450C0000}"/>
    <cellStyle name="Normal 26 5" xfId="8501" xr:uid="{00000000-0005-0000-0000-0000460C0000}"/>
    <cellStyle name="Normal 26 5 2" xfId="8572" xr:uid="{00000000-0005-0000-0000-0000470C0000}"/>
    <cellStyle name="Normal 26 6" xfId="8538" xr:uid="{00000000-0005-0000-0000-0000480C0000}"/>
    <cellStyle name="Normal 27" xfId="535" xr:uid="{00000000-0005-0000-0000-0000490C0000}"/>
    <cellStyle name="Normal 27 2" xfId="1595" xr:uid="{00000000-0005-0000-0000-00004A0C0000}"/>
    <cellStyle name="Normal 27 2 2" xfId="3717" xr:uid="{00000000-0005-0000-0000-00004B0C0000}"/>
    <cellStyle name="Normal 27 2 2 2" xfId="7963" xr:uid="{00000000-0005-0000-0000-00004C0C0000}"/>
    <cellStyle name="Normal 27 2 3" xfId="5841" xr:uid="{00000000-0005-0000-0000-00004D0C0000}"/>
    <cellStyle name="Normal 27 3" xfId="2658" xr:uid="{00000000-0005-0000-0000-00004E0C0000}"/>
    <cellStyle name="Normal 27 3 2" xfId="6904" xr:uid="{00000000-0005-0000-0000-00004F0C0000}"/>
    <cellStyle name="Normal 27 4" xfId="4782" xr:uid="{00000000-0005-0000-0000-0000500C0000}"/>
    <cellStyle name="Normal 28" xfId="1066" xr:uid="{00000000-0005-0000-0000-0000510C0000}"/>
    <cellStyle name="Normal 28 2" xfId="3188" xr:uid="{00000000-0005-0000-0000-0000520C0000}"/>
    <cellStyle name="Normal 28 2 2" xfId="7434" xr:uid="{00000000-0005-0000-0000-0000530C0000}"/>
    <cellStyle name="Normal 28 3" xfId="5312" xr:uid="{00000000-0005-0000-0000-0000540C0000}"/>
    <cellStyle name="Normal 29" xfId="1064" xr:uid="{00000000-0005-0000-0000-0000550C0000}"/>
    <cellStyle name="Normal 29 2" xfId="2125" xr:uid="{00000000-0005-0000-0000-0000560C0000}"/>
    <cellStyle name="Normal 29 2 2" xfId="4247" xr:uid="{00000000-0005-0000-0000-0000570C0000}"/>
    <cellStyle name="Normal 29 2 2 2" xfId="8493" xr:uid="{00000000-0005-0000-0000-0000580C0000}"/>
    <cellStyle name="Normal 29 2 3" xfId="6371" xr:uid="{00000000-0005-0000-0000-0000590C0000}"/>
    <cellStyle name="Normal 29 3" xfId="2123" xr:uid="{00000000-0005-0000-0000-00005A0C0000}"/>
    <cellStyle name="Normal 29 3 2" xfId="4245" xr:uid="{00000000-0005-0000-0000-00005B0C0000}"/>
    <cellStyle name="Normal 29 3 2 2" xfId="8491" xr:uid="{00000000-0005-0000-0000-00005C0C0000}"/>
    <cellStyle name="Normal 29 3 3" xfId="6369" xr:uid="{00000000-0005-0000-0000-00005D0C0000}"/>
    <cellStyle name="Normal 29 4" xfId="3186" xr:uid="{00000000-0005-0000-0000-00005E0C0000}"/>
    <cellStyle name="Normal 29 4 2" xfId="7432" xr:uid="{00000000-0005-0000-0000-00005F0C0000}"/>
    <cellStyle name="Normal 29 5" xfId="5310" xr:uid="{00000000-0005-0000-0000-0000600C0000}"/>
    <cellStyle name="Normal 3" xfId="7" xr:uid="{00000000-0005-0000-0000-0000610C0000}"/>
    <cellStyle name="Normal 3 10" xfId="2131" xr:uid="{00000000-0005-0000-0000-0000620C0000}"/>
    <cellStyle name="Normal 3 10 2" xfId="6377" xr:uid="{00000000-0005-0000-0000-0000630C0000}"/>
    <cellStyle name="Normal 3 11" xfId="4255" xr:uid="{00000000-0005-0000-0000-0000640C0000}"/>
    <cellStyle name="Normal 3 2" xfId="19" xr:uid="{00000000-0005-0000-0000-0000650C0000}"/>
    <cellStyle name="Normal 3 2 10" xfId="4267" xr:uid="{00000000-0005-0000-0000-0000660C0000}"/>
    <cellStyle name="Normal 3 2 2" xfId="40" xr:uid="{00000000-0005-0000-0000-0000670C0000}"/>
    <cellStyle name="Normal 3 2 2 2" xfId="126" xr:uid="{00000000-0005-0000-0000-0000680C0000}"/>
    <cellStyle name="Normal 3 2 2 2 2" xfId="257" xr:uid="{00000000-0005-0000-0000-0000690C0000}"/>
    <cellStyle name="Normal 3 2 2 2 2 2" xfId="520" xr:uid="{00000000-0005-0000-0000-00006A0C0000}"/>
    <cellStyle name="Normal 3 2 2 2 2 2 2" xfId="1050" xr:uid="{00000000-0005-0000-0000-00006B0C0000}"/>
    <cellStyle name="Normal 3 2 2 2 2 2 2 2" xfId="2109" xr:uid="{00000000-0005-0000-0000-00006C0C0000}"/>
    <cellStyle name="Normal 3 2 2 2 2 2 2 2 2" xfId="4231" xr:uid="{00000000-0005-0000-0000-00006D0C0000}"/>
    <cellStyle name="Normal 3 2 2 2 2 2 2 2 2 2" xfId="8477" xr:uid="{00000000-0005-0000-0000-00006E0C0000}"/>
    <cellStyle name="Normal 3 2 2 2 2 2 2 2 3" xfId="6355" xr:uid="{00000000-0005-0000-0000-00006F0C0000}"/>
    <cellStyle name="Normal 3 2 2 2 2 2 2 3" xfId="3172" xr:uid="{00000000-0005-0000-0000-0000700C0000}"/>
    <cellStyle name="Normal 3 2 2 2 2 2 2 3 2" xfId="7418" xr:uid="{00000000-0005-0000-0000-0000710C0000}"/>
    <cellStyle name="Normal 3 2 2 2 2 2 2 4" xfId="5296" xr:uid="{00000000-0005-0000-0000-0000720C0000}"/>
    <cellStyle name="Normal 3 2 2 2 2 2 3" xfId="1580" xr:uid="{00000000-0005-0000-0000-0000730C0000}"/>
    <cellStyle name="Normal 3 2 2 2 2 2 3 2" xfId="3702" xr:uid="{00000000-0005-0000-0000-0000740C0000}"/>
    <cellStyle name="Normal 3 2 2 2 2 2 3 2 2" xfId="7948" xr:uid="{00000000-0005-0000-0000-0000750C0000}"/>
    <cellStyle name="Normal 3 2 2 2 2 2 3 3" xfId="5826" xr:uid="{00000000-0005-0000-0000-0000760C0000}"/>
    <cellStyle name="Normal 3 2 2 2 2 2 4" xfId="2643" xr:uid="{00000000-0005-0000-0000-0000770C0000}"/>
    <cellStyle name="Normal 3 2 2 2 2 2 4 2" xfId="6889" xr:uid="{00000000-0005-0000-0000-0000780C0000}"/>
    <cellStyle name="Normal 3 2 2 2 2 2 5" xfId="4767" xr:uid="{00000000-0005-0000-0000-0000790C0000}"/>
    <cellStyle name="Normal 3 2 2 2 2 3" xfId="787" xr:uid="{00000000-0005-0000-0000-00007A0C0000}"/>
    <cellStyle name="Normal 3 2 2 2 2 3 2" xfId="1846" xr:uid="{00000000-0005-0000-0000-00007B0C0000}"/>
    <cellStyle name="Normal 3 2 2 2 2 3 2 2" xfId="3968" xr:uid="{00000000-0005-0000-0000-00007C0C0000}"/>
    <cellStyle name="Normal 3 2 2 2 2 3 2 2 2" xfId="8214" xr:uid="{00000000-0005-0000-0000-00007D0C0000}"/>
    <cellStyle name="Normal 3 2 2 2 2 3 2 3" xfId="6092" xr:uid="{00000000-0005-0000-0000-00007E0C0000}"/>
    <cellStyle name="Normal 3 2 2 2 2 3 3" xfId="2909" xr:uid="{00000000-0005-0000-0000-00007F0C0000}"/>
    <cellStyle name="Normal 3 2 2 2 2 3 3 2" xfId="7155" xr:uid="{00000000-0005-0000-0000-0000800C0000}"/>
    <cellStyle name="Normal 3 2 2 2 2 3 4" xfId="5033" xr:uid="{00000000-0005-0000-0000-0000810C0000}"/>
    <cellStyle name="Normal 3 2 2 2 2 4" xfId="1317" xr:uid="{00000000-0005-0000-0000-0000820C0000}"/>
    <cellStyle name="Normal 3 2 2 2 2 4 2" xfId="3439" xr:uid="{00000000-0005-0000-0000-0000830C0000}"/>
    <cellStyle name="Normal 3 2 2 2 2 4 2 2" xfId="7685" xr:uid="{00000000-0005-0000-0000-0000840C0000}"/>
    <cellStyle name="Normal 3 2 2 2 2 4 3" xfId="5563" xr:uid="{00000000-0005-0000-0000-0000850C0000}"/>
    <cellStyle name="Normal 3 2 2 2 2 5" xfId="2380" xr:uid="{00000000-0005-0000-0000-0000860C0000}"/>
    <cellStyle name="Normal 3 2 2 2 2 5 2" xfId="6626" xr:uid="{00000000-0005-0000-0000-0000870C0000}"/>
    <cellStyle name="Normal 3 2 2 2 2 6" xfId="4504" xr:uid="{00000000-0005-0000-0000-0000880C0000}"/>
    <cellStyle name="Normal 3 2 2 2 3" xfId="389" xr:uid="{00000000-0005-0000-0000-0000890C0000}"/>
    <cellStyle name="Normal 3 2 2 2 3 2" xfId="919" xr:uid="{00000000-0005-0000-0000-00008A0C0000}"/>
    <cellStyle name="Normal 3 2 2 2 3 2 2" xfId="1978" xr:uid="{00000000-0005-0000-0000-00008B0C0000}"/>
    <cellStyle name="Normal 3 2 2 2 3 2 2 2" xfId="4100" xr:uid="{00000000-0005-0000-0000-00008C0C0000}"/>
    <cellStyle name="Normal 3 2 2 2 3 2 2 2 2" xfId="8346" xr:uid="{00000000-0005-0000-0000-00008D0C0000}"/>
    <cellStyle name="Normal 3 2 2 2 3 2 2 3" xfId="6224" xr:uid="{00000000-0005-0000-0000-00008E0C0000}"/>
    <cellStyle name="Normal 3 2 2 2 3 2 3" xfId="3041" xr:uid="{00000000-0005-0000-0000-00008F0C0000}"/>
    <cellStyle name="Normal 3 2 2 2 3 2 3 2" xfId="7287" xr:uid="{00000000-0005-0000-0000-0000900C0000}"/>
    <cellStyle name="Normal 3 2 2 2 3 2 4" xfId="5165" xr:uid="{00000000-0005-0000-0000-0000910C0000}"/>
    <cellStyle name="Normal 3 2 2 2 3 3" xfId="1449" xr:uid="{00000000-0005-0000-0000-0000920C0000}"/>
    <cellStyle name="Normal 3 2 2 2 3 3 2" xfId="3571" xr:uid="{00000000-0005-0000-0000-0000930C0000}"/>
    <cellStyle name="Normal 3 2 2 2 3 3 2 2" xfId="7817" xr:uid="{00000000-0005-0000-0000-0000940C0000}"/>
    <cellStyle name="Normal 3 2 2 2 3 3 3" xfId="5695" xr:uid="{00000000-0005-0000-0000-0000950C0000}"/>
    <cellStyle name="Normal 3 2 2 2 3 4" xfId="2512" xr:uid="{00000000-0005-0000-0000-0000960C0000}"/>
    <cellStyle name="Normal 3 2 2 2 3 4 2" xfId="6758" xr:uid="{00000000-0005-0000-0000-0000970C0000}"/>
    <cellStyle name="Normal 3 2 2 2 3 5" xfId="4636" xr:uid="{00000000-0005-0000-0000-0000980C0000}"/>
    <cellStyle name="Normal 3 2 2 2 4" xfId="656" xr:uid="{00000000-0005-0000-0000-0000990C0000}"/>
    <cellStyle name="Normal 3 2 2 2 4 2" xfId="1715" xr:uid="{00000000-0005-0000-0000-00009A0C0000}"/>
    <cellStyle name="Normal 3 2 2 2 4 2 2" xfId="3837" xr:uid="{00000000-0005-0000-0000-00009B0C0000}"/>
    <cellStyle name="Normal 3 2 2 2 4 2 2 2" xfId="8083" xr:uid="{00000000-0005-0000-0000-00009C0C0000}"/>
    <cellStyle name="Normal 3 2 2 2 4 2 3" xfId="5961" xr:uid="{00000000-0005-0000-0000-00009D0C0000}"/>
    <cellStyle name="Normal 3 2 2 2 4 3" xfId="2778" xr:uid="{00000000-0005-0000-0000-00009E0C0000}"/>
    <cellStyle name="Normal 3 2 2 2 4 3 2" xfId="7024" xr:uid="{00000000-0005-0000-0000-00009F0C0000}"/>
    <cellStyle name="Normal 3 2 2 2 4 4" xfId="4902" xr:uid="{00000000-0005-0000-0000-0000A00C0000}"/>
    <cellStyle name="Normal 3 2 2 2 5" xfId="1186" xr:uid="{00000000-0005-0000-0000-0000A10C0000}"/>
    <cellStyle name="Normal 3 2 2 2 5 2" xfId="3308" xr:uid="{00000000-0005-0000-0000-0000A20C0000}"/>
    <cellStyle name="Normal 3 2 2 2 5 2 2" xfId="7554" xr:uid="{00000000-0005-0000-0000-0000A30C0000}"/>
    <cellStyle name="Normal 3 2 2 2 5 3" xfId="5432" xr:uid="{00000000-0005-0000-0000-0000A40C0000}"/>
    <cellStyle name="Normal 3 2 2 2 6" xfId="2249" xr:uid="{00000000-0005-0000-0000-0000A50C0000}"/>
    <cellStyle name="Normal 3 2 2 2 6 2" xfId="6495" xr:uid="{00000000-0005-0000-0000-0000A60C0000}"/>
    <cellStyle name="Normal 3 2 2 2 7" xfId="4373" xr:uid="{00000000-0005-0000-0000-0000A70C0000}"/>
    <cellStyle name="Normal 3 2 2 3" xfId="83" xr:uid="{00000000-0005-0000-0000-0000A80C0000}"/>
    <cellStyle name="Normal 3 2 2 3 2" xfId="215" xr:uid="{00000000-0005-0000-0000-0000A90C0000}"/>
    <cellStyle name="Normal 3 2 2 3 2 2" xfId="478" xr:uid="{00000000-0005-0000-0000-0000AA0C0000}"/>
    <cellStyle name="Normal 3 2 2 3 2 2 2" xfId="1008" xr:uid="{00000000-0005-0000-0000-0000AB0C0000}"/>
    <cellStyle name="Normal 3 2 2 3 2 2 2 2" xfId="2067" xr:uid="{00000000-0005-0000-0000-0000AC0C0000}"/>
    <cellStyle name="Normal 3 2 2 3 2 2 2 2 2" xfId="4189" xr:uid="{00000000-0005-0000-0000-0000AD0C0000}"/>
    <cellStyle name="Normal 3 2 2 3 2 2 2 2 2 2" xfId="8435" xr:uid="{00000000-0005-0000-0000-0000AE0C0000}"/>
    <cellStyle name="Normal 3 2 2 3 2 2 2 2 3" xfId="6313" xr:uid="{00000000-0005-0000-0000-0000AF0C0000}"/>
    <cellStyle name="Normal 3 2 2 3 2 2 2 3" xfId="3130" xr:uid="{00000000-0005-0000-0000-0000B00C0000}"/>
    <cellStyle name="Normal 3 2 2 3 2 2 2 3 2" xfId="7376" xr:uid="{00000000-0005-0000-0000-0000B10C0000}"/>
    <cellStyle name="Normal 3 2 2 3 2 2 2 4" xfId="5254" xr:uid="{00000000-0005-0000-0000-0000B20C0000}"/>
    <cellStyle name="Normal 3 2 2 3 2 2 3" xfId="1538" xr:uid="{00000000-0005-0000-0000-0000B30C0000}"/>
    <cellStyle name="Normal 3 2 2 3 2 2 3 2" xfId="3660" xr:uid="{00000000-0005-0000-0000-0000B40C0000}"/>
    <cellStyle name="Normal 3 2 2 3 2 2 3 2 2" xfId="7906" xr:uid="{00000000-0005-0000-0000-0000B50C0000}"/>
    <cellStyle name="Normal 3 2 2 3 2 2 3 3" xfId="5784" xr:uid="{00000000-0005-0000-0000-0000B60C0000}"/>
    <cellStyle name="Normal 3 2 2 3 2 2 4" xfId="2601" xr:uid="{00000000-0005-0000-0000-0000B70C0000}"/>
    <cellStyle name="Normal 3 2 2 3 2 2 4 2" xfId="6847" xr:uid="{00000000-0005-0000-0000-0000B80C0000}"/>
    <cellStyle name="Normal 3 2 2 3 2 2 5" xfId="4725" xr:uid="{00000000-0005-0000-0000-0000B90C0000}"/>
    <cellStyle name="Normal 3 2 2 3 2 3" xfId="745" xr:uid="{00000000-0005-0000-0000-0000BA0C0000}"/>
    <cellStyle name="Normal 3 2 2 3 2 3 2" xfId="1804" xr:uid="{00000000-0005-0000-0000-0000BB0C0000}"/>
    <cellStyle name="Normal 3 2 2 3 2 3 2 2" xfId="3926" xr:uid="{00000000-0005-0000-0000-0000BC0C0000}"/>
    <cellStyle name="Normal 3 2 2 3 2 3 2 2 2" xfId="8172" xr:uid="{00000000-0005-0000-0000-0000BD0C0000}"/>
    <cellStyle name="Normal 3 2 2 3 2 3 2 3" xfId="6050" xr:uid="{00000000-0005-0000-0000-0000BE0C0000}"/>
    <cellStyle name="Normal 3 2 2 3 2 3 3" xfId="2867" xr:uid="{00000000-0005-0000-0000-0000BF0C0000}"/>
    <cellStyle name="Normal 3 2 2 3 2 3 3 2" xfId="7113" xr:uid="{00000000-0005-0000-0000-0000C00C0000}"/>
    <cellStyle name="Normal 3 2 2 3 2 3 4" xfId="4991" xr:uid="{00000000-0005-0000-0000-0000C10C0000}"/>
    <cellStyle name="Normal 3 2 2 3 2 4" xfId="1275" xr:uid="{00000000-0005-0000-0000-0000C20C0000}"/>
    <cellStyle name="Normal 3 2 2 3 2 4 2" xfId="3397" xr:uid="{00000000-0005-0000-0000-0000C30C0000}"/>
    <cellStyle name="Normal 3 2 2 3 2 4 2 2" xfId="7643" xr:uid="{00000000-0005-0000-0000-0000C40C0000}"/>
    <cellStyle name="Normal 3 2 2 3 2 4 3" xfId="5521" xr:uid="{00000000-0005-0000-0000-0000C50C0000}"/>
    <cellStyle name="Normal 3 2 2 3 2 5" xfId="2338" xr:uid="{00000000-0005-0000-0000-0000C60C0000}"/>
    <cellStyle name="Normal 3 2 2 3 2 5 2" xfId="6584" xr:uid="{00000000-0005-0000-0000-0000C70C0000}"/>
    <cellStyle name="Normal 3 2 2 3 2 6" xfId="4462" xr:uid="{00000000-0005-0000-0000-0000C80C0000}"/>
    <cellStyle name="Normal 3 2 2 3 3" xfId="347" xr:uid="{00000000-0005-0000-0000-0000C90C0000}"/>
    <cellStyle name="Normal 3 2 2 3 3 2" xfId="877" xr:uid="{00000000-0005-0000-0000-0000CA0C0000}"/>
    <cellStyle name="Normal 3 2 2 3 3 2 2" xfId="1936" xr:uid="{00000000-0005-0000-0000-0000CB0C0000}"/>
    <cellStyle name="Normal 3 2 2 3 3 2 2 2" xfId="4058" xr:uid="{00000000-0005-0000-0000-0000CC0C0000}"/>
    <cellStyle name="Normal 3 2 2 3 3 2 2 2 2" xfId="8304" xr:uid="{00000000-0005-0000-0000-0000CD0C0000}"/>
    <cellStyle name="Normal 3 2 2 3 3 2 2 3" xfId="6182" xr:uid="{00000000-0005-0000-0000-0000CE0C0000}"/>
    <cellStyle name="Normal 3 2 2 3 3 2 3" xfId="2999" xr:uid="{00000000-0005-0000-0000-0000CF0C0000}"/>
    <cellStyle name="Normal 3 2 2 3 3 2 3 2" xfId="7245" xr:uid="{00000000-0005-0000-0000-0000D00C0000}"/>
    <cellStyle name="Normal 3 2 2 3 3 2 4" xfId="5123" xr:uid="{00000000-0005-0000-0000-0000D10C0000}"/>
    <cellStyle name="Normal 3 2 2 3 3 3" xfId="1407" xr:uid="{00000000-0005-0000-0000-0000D20C0000}"/>
    <cellStyle name="Normal 3 2 2 3 3 3 2" xfId="3529" xr:uid="{00000000-0005-0000-0000-0000D30C0000}"/>
    <cellStyle name="Normal 3 2 2 3 3 3 2 2" xfId="7775" xr:uid="{00000000-0005-0000-0000-0000D40C0000}"/>
    <cellStyle name="Normal 3 2 2 3 3 3 3" xfId="5653" xr:uid="{00000000-0005-0000-0000-0000D50C0000}"/>
    <cellStyle name="Normal 3 2 2 3 3 4" xfId="2470" xr:uid="{00000000-0005-0000-0000-0000D60C0000}"/>
    <cellStyle name="Normal 3 2 2 3 3 4 2" xfId="6716" xr:uid="{00000000-0005-0000-0000-0000D70C0000}"/>
    <cellStyle name="Normal 3 2 2 3 3 5" xfId="4594" xr:uid="{00000000-0005-0000-0000-0000D80C0000}"/>
    <cellStyle name="Normal 3 2 2 3 4" xfId="614" xr:uid="{00000000-0005-0000-0000-0000D90C0000}"/>
    <cellStyle name="Normal 3 2 2 3 4 2" xfId="1673" xr:uid="{00000000-0005-0000-0000-0000DA0C0000}"/>
    <cellStyle name="Normal 3 2 2 3 4 2 2" xfId="3795" xr:uid="{00000000-0005-0000-0000-0000DB0C0000}"/>
    <cellStyle name="Normal 3 2 2 3 4 2 2 2" xfId="8041" xr:uid="{00000000-0005-0000-0000-0000DC0C0000}"/>
    <cellStyle name="Normal 3 2 2 3 4 2 3" xfId="5919" xr:uid="{00000000-0005-0000-0000-0000DD0C0000}"/>
    <cellStyle name="Normal 3 2 2 3 4 3" xfId="2736" xr:uid="{00000000-0005-0000-0000-0000DE0C0000}"/>
    <cellStyle name="Normal 3 2 2 3 4 3 2" xfId="6982" xr:uid="{00000000-0005-0000-0000-0000DF0C0000}"/>
    <cellStyle name="Normal 3 2 2 3 4 4" xfId="4860" xr:uid="{00000000-0005-0000-0000-0000E00C0000}"/>
    <cellStyle name="Normal 3 2 2 3 5" xfId="1144" xr:uid="{00000000-0005-0000-0000-0000E10C0000}"/>
    <cellStyle name="Normal 3 2 2 3 5 2" xfId="3266" xr:uid="{00000000-0005-0000-0000-0000E20C0000}"/>
    <cellStyle name="Normal 3 2 2 3 5 2 2" xfId="7512" xr:uid="{00000000-0005-0000-0000-0000E30C0000}"/>
    <cellStyle name="Normal 3 2 2 3 5 3" xfId="5390" xr:uid="{00000000-0005-0000-0000-0000E40C0000}"/>
    <cellStyle name="Normal 3 2 2 3 6" xfId="2207" xr:uid="{00000000-0005-0000-0000-0000E50C0000}"/>
    <cellStyle name="Normal 3 2 2 3 6 2" xfId="6453" xr:uid="{00000000-0005-0000-0000-0000E60C0000}"/>
    <cellStyle name="Normal 3 2 2 3 7" xfId="4331" xr:uid="{00000000-0005-0000-0000-0000E70C0000}"/>
    <cellStyle name="Normal 3 2 2 4" xfId="172" xr:uid="{00000000-0005-0000-0000-0000E80C0000}"/>
    <cellStyle name="Normal 3 2 2 4 2" xfId="435" xr:uid="{00000000-0005-0000-0000-0000E90C0000}"/>
    <cellStyle name="Normal 3 2 2 4 2 2" xfId="965" xr:uid="{00000000-0005-0000-0000-0000EA0C0000}"/>
    <cellStyle name="Normal 3 2 2 4 2 2 2" xfId="2024" xr:uid="{00000000-0005-0000-0000-0000EB0C0000}"/>
    <cellStyle name="Normal 3 2 2 4 2 2 2 2" xfId="4146" xr:uid="{00000000-0005-0000-0000-0000EC0C0000}"/>
    <cellStyle name="Normal 3 2 2 4 2 2 2 2 2" xfId="8392" xr:uid="{00000000-0005-0000-0000-0000ED0C0000}"/>
    <cellStyle name="Normal 3 2 2 4 2 2 2 3" xfId="6270" xr:uid="{00000000-0005-0000-0000-0000EE0C0000}"/>
    <cellStyle name="Normal 3 2 2 4 2 2 3" xfId="3087" xr:uid="{00000000-0005-0000-0000-0000EF0C0000}"/>
    <cellStyle name="Normal 3 2 2 4 2 2 3 2" xfId="7333" xr:uid="{00000000-0005-0000-0000-0000F00C0000}"/>
    <cellStyle name="Normal 3 2 2 4 2 2 4" xfId="5211" xr:uid="{00000000-0005-0000-0000-0000F10C0000}"/>
    <cellStyle name="Normal 3 2 2 4 2 3" xfId="1495" xr:uid="{00000000-0005-0000-0000-0000F20C0000}"/>
    <cellStyle name="Normal 3 2 2 4 2 3 2" xfId="3617" xr:uid="{00000000-0005-0000-0000-0000F30C0000}"/>
    <cellStyle name="Normal 3 2 2 4 2 3 2 2" xfId="7863" xr:uid="{00000000-0005-0000-0000-0000F40C0000}"/>
    <cellStyle name="Normal 3 2 2 4 2 3 3" xfId="5741" xr:uid="{00000000-0005-0000-0000-0000F50C0000}"/>
    <cellStyle name="Normal 3 2 2 4 2 4" xfId="2558" xr:uid="{00000000-0005-0000-0000-0000F60C0000}"/>
    <cellStyle name="Normal 3 2 2 4 2 4 2" xfId="6804" xr:uid="{00000000-0005-0000-0000-0000F70C0000}"/>
    <cellStyle name="Normal 3 2 2 4 2 5" xfId="4682" xr:uid="{00000000-0005-0000-0000-0000F80C0000}"/>
    <cellStyle name="Normal 3 2 2 4 3" xfId="702" xr:uid="{00000000-0005-0000-0000-0000F90C0000}"/>
    <cellStyle name="Normal 3 2 2 4 3 2" xfId="1761" xr:uid="{00000000-0005-0000-0000-0000FA0C0000}"/>
    <cellStyle name="Normal 3 2 2 4 3 2 2" xfId="3883" xr:uid="{00000000-0005-0000-0000-0000FB0C0000}"/>
    <cellStyle name="Normal 3 2 2 4 3 2 2 2" xfId="8129" xr:uid="{00000000-0005-0000-0000-0000FC0C0000}"/>
    <cellStyle name="Normal 3 2 2 4 3 2 3" xfId="6007" xr:uid="{00000000-0005-0000-0000-0000FD0C0000}"/>
    <cellStyle name="Normal 3 2 2 4 3 3" xfId="2824" xr:uid="{00000000-0005-0000-0000-0000FE0C0000}"/>
    <cellStyle name="Normal 3 2 2 4 3 3 2" xfId="7070" xr:uid="{00000000-0005-0000-0000-0000FF0C0000}"/>
    <cellStyle name="Normal 3 2 2 4 3 4" xfId="4948" xr:uid="{00000000-0005-0000-0000-0000000D0000}"/>
    <cellStyle name="Normal 3 2 2 4 4" xfId="1232" xr:uid="{00000000-0005-0000-0000-0000010D0000}"/>
    <cellStyle name="Normal 3 2 2 4 4 2" xfId="3354" xr:uid="{00000000-0005-0000-0000-0000020D0000}"/>
    <cellStyle name="Normal 3 2 2 4 4 2 2" xfId="7600" xr:uid="{00000000-0005-0000-0000-0000030D0000}"/>
    <cellStyle name="Normal 3 2 2 4 4 3" xfId="5478" xr:uid="{00000000-0005-0000-0000-0000040D0000}"/>
    <cellStyle name="Normal 3 2 2 4 5" xfId="2295" xr:uid="{00000000-0005-0000-0000-0000050D0000}"/>
    <cellStyle name="Normal 3 2 2 4 5 2" xfId="6541" xr:uid="{00000000-0005-0000-0000-0000060D0000}"/>
    <cellStyle name="Normal 3 2 2 4 6" xfId="4419" xr:uid="{00000000-0005-0000-0000-0000070D0000}"/>
    <cellStyle name="Normal 3 2 2 5" xfId="304" xr:uid="{00000000-0005-0000-0000-0000080D0000}"/>
    <cellStyle name="Normal 3 2 2 5 2" xfId="834" xr:uid="{00000000-0005-0000-0000-0000090D0000}"/>
    <cellStyle name="Normal 3 2 2 5 2 2" xfId="1893" xr:uid="{00000000-0005-0000-0000-00000A0D0000}"/>
    <cellStyle name="Normal 3 2 2 5 2 2 2" xfId="4015" xr:uid="{00000000-0005-0000-0000-00000B0D0000}"/>
    <cellStyle name="Normal 3 2 2 5 2 2 2 2" xfId="8261" xr:uid="{00000000-0005-0000-0000-00000C0D0000}"/>
    <cellStyle name="Normal 3 2 2 5 2 2 3" xfId="6139" xr:uid="{00000000-0005-0000-0000-00000D0D0000}"/>
    <cellStyle name="Normal 3 2 2 5 2 3" xfId="2956" xr:uid="{00000000-0005-0000-0000-00000E0D0000}"/>
    <cellStyle name="Normal 3 2 2 5 2 3 2" xfId="7202" xr:uid="{00000000-0005-0000-0000-00000F0D0000}"/>
    <cellStyle name="Normal 3 2 2 5 2 4" xfId="5080" xr:uid="{00000000-0005-0000-0000-0000100D0000}"/>
    <cellStyle name="Normal 3 2 2 5 3" xfId="1364" xr:uid="{00000000-0005-0000-0000-0000110D0000}"/>
    <cellStyle name="Normal 3 2 2 5 3 2" xfId="3486" xr:uid="{00000000-0005-0000-0000-0000120D0000}"/>
    <cellStyle name="Normal 3 2 2 5 3 2 2" xfId="7732" xr:uid="{00000000-0005-0000-0000-0000130D0000}"/>
    <cellStyle name="Normal 3 2 2 5 3 3" xfId="5610" xr:uid="{00000000-0005-0000-0000-0000140D0000}"/>
    <cellStyle name="Normal 3 2 2 5 4" xfId="2427" xr:uid="{00000000-0005-0000-0000-0000150D0000}"/>
    <cellStyle name="Normal 3 2 2 5 4 2" xfId="6673" xr:uid="{00000000-0005-0000-0000-0000160D0000}"/>
    <cellStyle name="Normal 3 2 2 5 5" xfId="4551" xr:uid="{00000000-0005-0000-0000-0000170D0000}"/>
    <cellStyle name="Normal 3 2 2 6" xfId="571" xr:uid="{00000000-0005-0000-0000-0000180D0000}"/>
    <cellStyle name="Normal 3 2 2 6 2" xfId="1630" xr:uid="{00000000-0005-0000-0000-0000190D0000}"/>
    <cellStyle name="Normal 3 2 2 6 2 2" xfId="3752" xr:uid="{00000000-0005-0000-0000-00001A0D0000}"/>
    <cellStyle name="Normal 3 2 2 6 2 2 2" xfId="7998" xr:uid="{00000000-0005-0000-0000-00001B0D0000}"/>
    <cellStyle name="Normal 3 2 2 6 2 3" xfId="5876" xr:uid="{00000000-0005-0000-0000-00001C0D0000}"/>
    <cellStyle name="Normal 3 2 2 6 3" xfId="2693" xr:uid="{00000000-0005-0000-0000-00001D0D0000}"/>
    <cellStyle name="Normal 3 2 2 6 3 2" xfId="6939" xr:uid="{00000000-0005-0000-0000-00001E0D0000}"/>
    <cellStyle name="Normal 3 2 2 6 4" xfId="4817" xr:uid="{00000000-0005-0000-0000-00001F0D0000}"/>
    <cellStyle name="Normal 3 2 2 7" xfId="1101" xr:uid="{00000000-0005-0000-0000-0000200D0000}"/>
    <cellStyle name="Normal 3 2 2 7 2" xfId="3223" xr:uid="{00000000-0005-0000-0000-0000210D0000}"/>
    <cellStyle name="Normal 3 2 2 7 2 2" xfId="7469" xr:uid="{00000000-0005-0000-0000-0000220D0000}"/>
    <cellStyle name="Normal 3 2 2 7 3" xfId="5347" xr:uid="{00000000-0005-0000-0000-0000230D0000}"/>
    <cellStyle name="Normal 3 2 2 8" xfId="2164" xr:uid="{00000000-0005-0000-0000-0000240D0000}"/>
    <cellStyle name="Normal 3 2 2 8 2" xfId="6410" xr:uid="{00000000-0005-0000-0000-0000250D0000}"/>
    <cellStyle name="Normal 3 2 2 9" xfId="4288" xr:uid="{00000000-0005-0000-0000-0000260D0000}"/>
    <cellStyle name="Normal 3 2 3" xfId="105" xr:uid="{00000000-0005-0000-0000-0000270D0000}"/>
    <cellStyle name="Normal 3 2 3 2" xfId="236" xr:uid="{00000000-0005-0000-0000-0000280D0000}"/>
    <cellStyle name="Normal 3 2 3 2 2" xfId="499" xr:uid="{00000000-0005-0000-0000-0000290D0000}"/>
    <cellStyle name="Normal 3 2 3 2 2 2" xfId="1029" xr:uid="{00000000-0005-0000-0000-00002A0D0000}"/>
    <cellStyle name="Normal 3 2 3 2 2 2 2" xfId="2088" xr:uid="{00000000-0005-0000-0000-00002B0D0000}"/>
    <cellStyle name="Normal 3 2 3 2 2 2 2 2" xfId="4210" xr:uid="{00000000-0005-0000-0000-00002C0D0000}"/>
    <cellStyle name="Normal 3 2 3 2 2 2 2 2 2" xfId="8456" xr:uid="{00000000-0005-0000-0000-00002D0D0000}"/>
    <cellStyle name="Normal 3 2 3 2 2 2 2 3" xfId="6334" xr:uid="{00000000-0005-0000-0000-00002E0D0000}"/>
    <cellStyle name="Normal 3 2 3 2 2 2 3" xfId="3151" xr:uid="{00000000-0005-0000-0000-00002F0D0000}"/>
    <cellStyle name="Normal 3 2 3 2 2 2 3 2" xfId="7397" xr:uid="{00000000-0005-0000-0000-0000300D0000}"/>
    <cellStyle name="Normal 3 2 3 2 2 2 4" xfId="5275" xr:uid="{00000000-0005-0000-0000-0000310D0000}"/>
    <cellStyle name="Normal 3 2 3 2 2 3" xfId="1559" xr:uid="{00000000-0005-0000-0000-0000320D0000}"/>
    <cellStyle name="Normal 3 2 3 2 2 3 2" xfId="3681" xr:uid="{00000000-0005-0000-0000-0000330D0000}"/>
    <cellStyle name="Normal 3 2 3 2 2 3 2 2" xfId="7927" xr:uid="{00000000-0005-0000-0000-0000340D0000}"/>
    <cellStyle name="Normal 3 2 3 2 2 3 3" xfId="5805" xr:uid="{00000000-0005-0000-0000-0000350D0000}"/>
    <cellStyle name="Normal 3 2 3 2 2 4" xfId="2622" xr:uid="{00000000-0005-0000-0000-0000360D0000}"/>
    <cellStyle name="Normal 3 2 3 2 2 4 2" xfId="6868" xr:uid="{00000000-0005-0000-0000-0000370D0000}"/>
    <cellStyle name="Normal 3 2 3 2 2 5" xfId="4746" xr:uid="{00000000-0005-0000-0000-0000380D0000}"/>
    <cellStyle name="Normal 3 2 3 2 3" xfId="766" xr:uid="{00000000-0005-0000-0000-0000390D0000}"/>
    <cellStyle name="Normal 3 2 3 2 3 2" xfId="1825" xr:uid="{00000000-0005-0000-0000-00003A0D0000}"/>
    <cellStyle name="Normal 3 2 3 2 3 2 2" xfId="3947" xr:uid="{00000000-0005-0000-0000-00003B0D0000}"/>
    <cellStyle name="Normal 3 2 3 2 3 2 2 2" xfId="8193" xr:uid="{00000000-0005-0000-0000-00003C0D0000}"/>
    <cellStyle name="Normal 3 2 3 2 3 2 3" xfId="6071" xr:uid="{00000000-0005-0000-0000-00003D0D0000}"/>
    <cellStyle name="Normal 3 2 3 2 3 3" xfId="2888" xr:uid="{00000000-0005-0000-0000-00003E0D0000}"/>
    <cellStyle name="Normal 3 2 3 2 3 3 2" xfId="7134" xr:uid="{00000000-0005-0000-0000-00003F0D0000}"/>
    <cellStyle name="Normal 3 2 3 2 3 4" xfId="5012" xr:uid="{00000000-0005-0000-0000-0000400D0000}"/>
    <cellStyle name="Normal 3 2 3 2 4" xfId="1296" xr:uid="{00000000-0005-0000-0000-0000410D0000}"/>
    <cellStyle name="Normal 3 2 3 2 4 2" xfId="3418" xr:uid="{00000000-0005-0000-0000-0000420D0000}"/>
    <cellStyle name="Normal 3 2 3 2 4 2 2" xfId="7664" xr:uid="{00000000-0005-0000-0000-0000430D0000}"/>
    <cellStyle name="Normal 3 2 3 2 4 3" xfId="5542" xr:uid="{00000000-0005-0000-0000-0000440D0000}"/>
    <cellStyle name="Normal 3 2 3 2 5" xfId="2359" xr:uid="{00000000-0005-0000-0000-0000450D0000}"/>
    <cellStyle name="Normal 3 2 3 2 5 2" xfId="6605" xr:uid="{00000000-0005-0000-0000-0000460D0000}"/>
    <cellStyle name="Normal 3 2 3 2 6" xfId="4483" xr:uid="{00000000-0005-0000-0000-0000470D0000}"/>
    <cellStyle name="Normal 3 2 3 3" xfId="368" xr:uid="{00000000-0005-0000-0000-0000480D0000}"/>
    <cellStyle name="Normal 3 2 3 3 2" xfId="898" xr:uid="{00000000-0005-0000-0000-0000490D0000}"/>
    <cellStyle name="Normal 3 2 3 3 2 2" xfId="1957" xr:uid="{00000000-0005-0000-0000-00004A0D0000}"/>
    <cellStyle name="Normal 3 2 3 3 2 2 2" xfId="4079" xr:uid="{00000000-0005-0000-0000-00004B0D0000}"/>
    <cellStyle name="Normal 3 2 3 3 2 2 2 2" xfId="8325" xr:uid="{00000000-0005-0000-0000-00004C0D0000}"/>
    <cellStyle name="Normal 3 2 3 3 2 2 3" xfId="6203" xr:uid="{00000000-0005-0000-0000-00004D0D0000}"/>
    <cellStyle name="Normal 3 2 3 3 2 3" xfId="3020" xr:uid="{00000000-0005-0000-0000-00004E0D0000}"/>
    <cellStyle name="Normal 3 2 3 3 2 3 2" xfId="7266" xr:uid="{00000000-0005-0000-0000-00004F0D0000}"/>
    <cellStyle name="Normal 3 2 3 3 2 4" xfId="5144" xr:uid="{00000000-0005-0000-0000-0000500D0000}"/>
    <cellStyle name="Normal 3 2 3 3 3" xfId="1428" xr:uid="{00000000-0005-0000-0000-0000510D0000}"/>
    <cellStyle name="Normal 3 2 3 3 3 2" xfId="3550" xr:uid="{00000000-0005-0000-0000-0000520D0000}"/>
    <cellStyle name="Normal 3 2 3 3 3 2 2" xfId="7796" xr:uid="{00000000-0005-0000-0000-0000530D0000}"/>
    <cellStyle name="Normal 3 2 3 3 3 3" xfId="5674" xr:uid="{00000000-0005-0000-0000-0000540D0000}"/>
    <cellStyle name="Normal 3 2 3 3 4" xfId="2491" xr:uid="{00000000-0005-0000-0000-0000550D0000}"/>
    <cellStyle name="Normal 3 2 3 3 4 2" xfId="6737" xr:uid="{00000000-0005-0000-0000-0000560D0000}"/>
    <cellStyle name="Normal 3 2 3 3 5" xfId="4615" xr:uid="{00000000-0005-0000-0000-0000570D0000}"/>
    <cellStyle name="Normal 3 2 3 4" xfId="635" xr:uid="{00000000-0005-0000-0000-0000580D0000}"/>
    <cellStyle name="Normal 3 2 3 4 2" xfId="1694" xr:uid="{00000000-0005-0000-0000-0000590D0000}"/>
    <cellStyle name="Normal 3 2 3 4 2 2" xfId="3816" xr:uid="{00000000-0005-0000-0000-00005A0D0000}"/>
    <cellStyle name="Normal 3 2 3 4 2 2 2" xfId="8062" xr:uid="{00000000-0005-0000-0000-00005B0D0000}"/>
    <cellStyle name="Normal 3 2 3 4 2 3" xfId="5940" xr:uid="{00000000-0005-0000-0000-00005C0D0000}"/>
    <cellStyle name="Normal 3 2 3 4 3" xfId="2757" xr:uid="{00000000-0005-0000-0000-00005D0D0000}"/>
    <cellStyle name="Normal 3 2 3 4 3 2" xfId="7003" xr:uid="{00000000-0005-0000-0000-00005E0D0000}"/>
    <cellStyle name="Normal 3 2 3 4 4" xfId="4881" xr:uid="{00000000-0005-0000-0000-00005F0D0000}"/>
    <cellStyle name="Normal 3 2 3 5" xfId="1165" xr:uid="{00000000-0005-0000-0000-0000600D0000}"/>
    <cellStyle name="Normal 3 2 3 5 2" xfId="3287" xr:uid="{00000000-0005-0000-0000-0000610D0000}"/>
    <cellStyle name="Normal 3 2 3 5 2 2" xfId="7533" xr:uid="{00000000-0005-0000-0000-0000620D0000}"/>
    <cellStyle name="Normal 3 2 3 5 3" xfId="5411" xr:uid="{00000000-0005-0000-0000-0000630D0000}"/>
    <cellStyle name="Normal 3 2 3 6" xfId="2228" xr:uid="{00000000-0005-0000-0000-0000640D0000}"/>
    <cellStyle name="Normal 3 2 3 6 2" xfId="6474" xr:uid="{00000000-0005-0000-0000-0000650D0000}"/>
    <cellStyle name="Normal 3 2 3 7" xfId="4352" xr:uid="{00000000-0005-0000-0000-0000660D0000}"/>
    <cellStyle name="Normal 3 2 4" xfId="62" xr:uid="{00000000-0005-0000-0000-0000670D0000}"/>
    <cellStyle name="Normal 3 2 4 2" xfId="194" xr:uid="{00000000-0005-0000-0000-0000680D0000}"/>
    <cellStyle name="Normal 3 2 4 2 2" xfId="457" xr:uid="{00000000-0005-0000-0000-0000690D0000}"/>
    <cellStyle name="Normal 3 2 4 2 2 2" xfId="987" xr:uid="{00000000-0005-0000-0000-00006A0D0000}"/>
    <cellStyle name="Normal 3 2 4 2 2 2 2" xfId="2046" xr:uid="{00000000-0005-0000-0000-00006B0D0000}"/>
    <cellStyle name="Normal 3 2 4 2 2 2 2 2" xfId="4168" xr:uid="{00000000-0005-0000-0000-00006C0D0000}"/>
    <cellStyle name="Normal 3 2 4 2 2 2 2 2 2" xfId="8414" xr:uid="{00000000-0005-0000-0000-00006D0D0000}"/>
    <cellStyle name="Normal 3 2 4 2 2 2 2 3" xfId="6292" xr:uid="{00000000-0005-0000-0000-00006E0D0000}"/>
    <cellStyle name="Normal 3 2 4 2 2 2 3" xfId="3109" xr:uid="{00000000-0005-0000-0000-00006F0D0000}"/>
    <cellStyle name="Normal 3 2 4 2 2 2 3 2" xfId="7355" xr:uid="{00000000-0005-0000-0000-0000700D0000}"/>
    <cellStyle name="Normal 3 2 4 2 2 2 4" xfId="5233" xr:uid="{00000000-0005-0000-0000-0000710D0000}"/>
    <cellStyle name="Normal 3 2 4 2 2 3" xfId="1517" xr:uid="{00000000-0005-0000-0000-0000720D0000}"/>
    <cellStyle name="Normal 3 2 4 2 2 3 2" xfId="3639" xr:uid="{00000000-0005-0000-0000-0000730D0000}"/>
    <cellStyle name="Normal 3 2 4 2 2 3 2 2" xfId="7885" xr:uid="{00000000-0005-0000-0000-0000740D0000}"/>
    <cellStyle name="Normal 3 2 4 2 2 3 3" xfId="5763" xr:uid="{00000000-0005-0000-0000-0000750D0000}"/>
    <cellStyle name="Normal 3 2 4 2 2 4" xfId="2580" xr:uid="{00000000-0005-0000-0000-0000760D0000}"/>
    <cellStyle name="Normal 3 2 4 2 2 4 2" xfId="6826" xr:uid="{00000000-0005-0000-0000-0000770D0000}"/>
    <cellStyle name="Normal 3 2 4 2 2 5" xfId="4704" xr:uid="{00000000-0005-0000-0000-0000780D0000}"/>
    <cellStyle name="Normal 3 2 4 2 3" xfId="724" xr:uid="{00000000-0005-0000-0000-0000790D0000}"/>
    <cellStyle name="Normal 3 2 4 2 3 2" xfId="1783" xr:uid="{00000000-0005-0000-0000-00007A0D0000}"/>
    <cellStyle name="Normal 3 2 4 2 3 2 2" xfId="3905" xr:uid="{00000000-0005-0000-0000-00007B0D0000}"/>
    <cellStyle name="Normal 3 2 4 2 3 2 2 2" xfId="8151" xr:uid="{00000000-0005-0000-0000-00007C0D0000}"/>
    <cellStyle name="Normal 3 2 4 2 3 2 3" xfId="6029" xr:uid="{00000000-0005-0000-0000-00007D0D0000}"/>
    <cellStyle name="Normal 3 2 4 2 3 3" xfId="2846" xr:uid="{00000000-0005-0000-0000-00007E0D0000}"/>
    <cellStyle name="Normal 3 2 4 2 3 3 2" xfId="7092" xr:uid="{00000000-0005-0000-0000-00007F0D0000}"/>
    <cellStyle name="Normal 3 2 4 2 3 4" xfId="4970" xr:uid="{00000000-0005-0000-0000-0000800D0000}"/>
    <cellStyle name="Normal 3 2 4 2 4" xfId="1254" xr:uid="{00000000-0005-0000-0000-0000810D0000}"/>
    <cellStyle name="Normal 3 2 4 2 4 2" xfId="3376" xr:uid="{00000000-0005-0000-0000-0000820D0000}"/>
    <cellStyle name="Normal 3 2 4 2 4 2 2" xfId="7622" xr:uid="{00000000-0005-0000-0000-0000830D0000}"/>
    <cellStyle name="Normal 3 2 4 2 4 3" xfId="5500" xr:uid="{00000000-0005-0000-0000-0000840D0000}"/>
    <cellStyle name="Normal 3 2 4 2 5" xfId="2317" xr:uid="{00000000-0005-0000-0000-0000850D0000}"/>
    <cellStyle name="Normal 3 2 4 2 5 2" xfId="6563" xr:uid="{00000000-0005-0000-0000-0000860D0000}"/>
    <cellStyle name="Normal 3 2 4 2 6" xfId="4441" xr:uid="{00000000-0005-0000-0000-0000870D0000}"/>
    <cellStyle name="Normal 3 2 4 3" xfId="326" xr:uid="{00000000-0005-0000-0000-0000880D0000}"/>
    <cellStyle name="Normal 3 2 4 3 2" xfId="856" xr:uid="{00000000-0005-0000-0000-0000890D0000}"/>
    <cellStyle name="Normal 3 2 4 3 2 2" xfId="1915" xr:uid="{00000000-0005-0000-0000-00008A0D0000}"/>
    <cellStyle name="Normal 3 2 4 3 2 2 2" xfId="4037" xr:uid="{00000000-0005-0000-0000-00008B0D0000}"/>
    <cellStyle name="Normal 3 2 4 3 2 2 2 2" xfId="8283" xr:uid="{00000000-0005-0000-0000-00008C0D0000}"/>
    <cellStyle name="Normal 3 2 4 3 2 2 3" xfId="6161" xr:uid="{00000000-0005-0000-0000-00008D0D0000}"/>
    <cellStyle name="Normal 3 2 4 3 2 3" xfId="2978" xr:uid="{00000000-0005-0000-0000-00008E0D0000}"/>
    <cellStyle name="Normal 3 2 4 3 2 3 2" xfId="7224" xr:uid="{00000000-0005-0000-0000-00008F0D0000}"/>
    <cellStyle name="Normal 3 2 4 3 2 4" xfId="5102" xr:uid="{00000000-0005-0000-0000-0000900D0000}"/>
    <cellStyle name="Normal 3 2 4 3 3" xfId="1386" xr:uid="{00000000-0005-0000-0000-0000910D0000}"/>
    <cellStyle name="Normal 3 2 4 3 3 2" xfId="3508" xr:uid="{00000000-0005-0000-0000-0000920D0000}"/>
    <cellStyle name="Normal 3 2 4 3 3 2 2" xfId="7754" xr:uid="{00000000-0005-0000-0000-0000930D0000}"/>
    <cellStyle name="Normal 3 2 4 3 3 3" xfId="5632" xr:uid="{00000000-0005-0000-0000-0000940D0000}"/>
    <cellStyle name="Normal 3 2 4 3 4" xfId="2449" xr:uid="{00000000-0005-0000-0000-0000950D0000}"/>
    <cellStyle name="Normal 3 2 4 3 4 2" xfId="6695" xr:uid="{00000000-0005-0000-0000-0000960D0000}"/>
    <cellStyle name="Normal 3 2 4 3 5" xfId="4573" xr:uid="{00000000-0005-0000-0000-0000970D0000}"/>
    <cellStyle name="Normal 3 2 4 4" xfId="593" xr:uid="{00000000-0005-0000-0000-0000980D0000}"/>
    <cellStyle name="Normal 3 2 4 4 2" xfId="1652" xr:uid="{00000000-0005-0000-0000-0000990D0000}"/>
    <cellStyle name="Normal 3 2 4 4 2 2" xfId="3774" xr:uid="{00000000-0005-0000-0000-00009A0D0000}"/>
    <cellStyle name="Normal 3 2 4 4 2 2 2" xfId="8020" xr:uid="{00000000-0005-0000-0000-00009B0D0000}"/>
    <cellStyle name="Normal 3 2 4 4 2 3" xfId="5898" xr:uid="{00000000-0005-0000-0000-00009C0D0000}"/>
    <cellStyle name="Normal 3 2 4 4 3" xfId="2715" xr:uid="{00000000-0005-0000-0000-00009D0D0000}"/>
    <cellStyle name="Normal 3 2 4 4 3 2" xfId="6961" xr:uid="{00000000-0005-0000-0000-00009E0D0000}"/>
    <cellStyle name="Normal 3 2 4 4 4" xfId="4839" xr:uid="{00000000-0005-0000-0000-00009F0D0000}"/>
    <cellStyle name="Normal 3 2 4 5" xfId="1123" xr:uid="{00000000-0005-0000-0000-0000A00D0000}"/>
    <cellStyle name="Normal 3 2 4 5 2" xfId="3245" xr:uid="{00000000-0005-0000-0000-0000A10D0000}"/>
    <cellStyle name="Normal 3 2 4 5 2 2" xfId="7491" xr:uid="{00000000-0005-0000-0000-0000A20D0000}"/>
    <cellStyle name="Normal 3 2 4 5 3" xfId="5369" xr:uid="{00000000-0005-0000-0000-0000A30D0000}"/>
    <cellStyle name="Normal 3 2 4 6" xfId="2186" xr:uid="{00000000-0005-0000-0000-0000A40D0000}"/>
    <cellStyle name="Normal 3 2 4 6 2" xfId="6432" xr:uid="{00000000-0005-0000-0000-0000A50D0000}"/>
    <cellStyle name="Normal 3 2 4 7" xfId="4310" xr:uid="{00000000-0005-0000-0000-0000A60D0000}"/>
    <cellStyle name="Normal 3 2 5" xfId="151" xr:uid="{00000000-0005-0000-0000-0000A70D0000}"/>
    <cellStyle name="Normal 3 2 5 2" xfId="414" xr:uid="{00000000-0005-0000-0000-0000A80D0000}"/>
    <cellStyle name="Normal 3 2 5 2 2" xfId="944" xr:uid="{00000000-0005-0000-0000-0000A90D0000}"/>
    <cellStyle name="Normal 3 2 5 2 2 2" xfId="2003" xr:uid="{00000000-0005-0000-0000-0000AA0D0000}"/>
    <cellStyle name="Normal 3 2 5 2 2 2 2" xfId="4125" xr:uid="{00000000-0005-0000-0000-0000AB0D0000}"/>
    <cellStyle name="Normal 3 2 5 2 2 2 2 2" xfId="8371" xr:uid="{00000000-0005-0000-0000-0000AC0D0000}"/>
    <cellStyle name="Normal 3 2 5 2 2 2 3" xfId="6249" xr:uid="{00000000-0005-0000-0000-0000AD0D0000}"/>
    <cellStyle name="Normal 3 2 5 2 2 3" xfId="3066" xr:uid="{00000000-0005-0000-0000-0000AE0D0000}"/>
    <cellStyle name="Normal 3 2 5 2 2 3 2" xfId="7312" xr:uid="{00000000-0005-0000-0000-0000AF0D0000}"/>
    <cellStyle name="Normal 3 2 5 2 2 4" xfId="5190" xr:uid="{00000000-0005-0000-0000-0000B00D0000}"/>
    <cellStyle name="Normal 3 2 5 2 3" xfId="1474" xr:uid="{00000000-0005-0000-0000-0000B10D0000}"/>
    <cellStyle name="Normal 3 2 5 2 3 2" xfId="3596" xr:uid="{00000000-0005-0000-0000-0000B20D0000}"/>
    <cellStyle name="Normal 3 2 5 2 3 2 2" xfId="7842" xr:uid="{00000000-0005-0000-0000-0000B30D0000}"/>
    <cellStyle name="Normal 3 2 5 2 3 3" xfId="5720" xr:uid="{00000000-0005-0000-0000-0000B40D0000}"/>
    <cellStyle name="Normal 3 2 5 2 4" xfId="2537" xr:uid="{00000000-0005-0000-0000-0000B50D0000}"/>
    <cellStyle name="Normal 3 2 5 2 4 2" xfId="6783" xr:uid="{00000000-0005-0000-0000-0000B60D0000}"/>
    <cellStyle name="Normal 3 2 5 2 5" xfId="4661" xr:uid="{00000000-0005-0000-0000-0000B70D0000}"/>
    <cellStyle name="Normal 3 2 5 3" xfId="681" xr:uid="{00000000-0005-0000-0000-0000B80D0000}"/>
    <cellStyle name="Normal 3 2 5 3 2" xfId="1740" xr:uid="{00000000-0005-0000-0000-0000B90D0000}"/>
    <cellStyle name="Normal 3 2 5 3 2 2" xfId="3862" xr:uid="{00000000-0005-0000-0000-0000BA0D0000}"/>
    <cellStyle name="Normal 3 2 5 3 2 2 2" xfId="8108" xr:uid="{00000000-0005-0000-0000-0000BB0D0000}"/>
    <cellStyle name="Normal 3 2 5 3 2 3" xfId="5986" xr:uid="{00000000-0005-0000-0000-0000BC0D0000}"/>
    <cellStyle name="Normal 3 2 5 3 3" xfId="2803" xr:uid="{00000000-0005-0000-0000-0000BD0D0000}"/>
    <cellStyle name="Normal 3 2 5 3 3 2" xfId="7049" xr:uid="{00000000-0005-0000-0000-0000BE0D0000}"/>
    <cellStyle name="Normal 3 2 5 3 4" xfId="4927" xr:uid="{00000000-0005-0000-0000-0000BF0D0000}"/>
    <cellStyle name="Normal 3 2 5 4" xfId="1211" xr:uid="{00000000-0005-0000-0000-0000C00D0000}"/>
    <cellStyle name="Normal 3 2 5 4 2" xfId="3333" xr:uid="{00000000-0005-0000-0000-0000C10D0000}"/>
    <cellStyle name="Normal 3 2 5 4 2 2" xfId="7579" xr:uid="{00000000-0005-0000-0000-0000C20D0000}"/>
    <cellStyle name="Normal 3 2 5 4 3" xfId="5457" xr:uid="{00000000-0005-0000-0000-0000C30D0000}"/>
    <cellStyle name="Normal 3 2 5 5" xfId="2274" xr:uid="{00000000-0005-0000-0000-0000C40D0000}"/>
    <cellStyle name="Normal 3 2 5 5 2" xfId="6520" xr:uid="{00000000-0005-0000-0000-0000C50D0000}"/>
    <cellStyle name="Normal 3 2 5 6" xfId="4398" xr:uid="{00000000-0005-0000-0000-0000C60D0000}"/>
    <cellStyle name="Normal 3 2 6" xfId="283" xr:uid="{00000000-0005-0000-0000-0000C70D0000}"/>
    <cellStyle name="Normal 3 2 6 2" xfId="813" xr:uid="{00000000-0005-0000-0000-0000C80D0000}"/>
    <cellStyle name="Normal 3 2 6 2 2" xfId="1872" xr:uid="{00000000-0005-0000-0000-0000C90D0000}"/>
    <cellStyle name="Normal 3 2 6 2 2 2" xfId="3994" xr:uid="{00000000-0005-0000-0000-0000CA0D0000}"/>
    <cellStyle name="Normal 3 2 6 2 2 2 2" xfId="8240" xr:uid="{00000000-0005-0000-0000-0000CB0D0000}"/>
    <cellStyle name="Normal 3 2 6 2 2 3" xfId="6118" xr:uid="{00000000-0005-0000-0000-0000CC0D0000}"/>
    <cellStyle name="Normal 3 2 6 2 3" xfId="2935" xr:uid="{00000000-0005-0000-0000-0000CD0D0000}"/>
    <cellStyle name="Normal 3 2 6 2 3 2" xfId="7181" xr:uid="{00000000-0005-0000-0000-0000CE0D0000}"/>
    <cellStyle name="Normal 3 2 6 2 4" xfId="5059" xr:uid="{00000000-0005-0000-0000-0000CF0D0000}"/>
    <cellStyle name="Normal 3 2 6 3" xfId="1343" xr:uid="{00000000-0005-0000-0000-0000D00D0000}"/>
    <cellStyle name="Normal 3 2 6 3 2" xfId="3465" xr:uid="{00000000-0005-0000-0000-0000D10D0000}"/>
    <cellStyle name="Normal 3 2 6 3 2 2" xfId="7711" xr:uid="{00000000-0005-0000-0000-0000D20D0000}"/>
    <cellStyle name="Normal 3 2 6 3 3" xfId="5589" xr:uid="{00000000-0005-0000-0000-0000D30D0000}"/>
    <cellStyle name="Normal 3 2 6 4" xfId="2406" xr:uid="{00000000-0005-0000-0000-0000D40D0000}"/>
    <cellStyle name="Normal 3 2 6 4 2" xfId="6652" xr:uid="{00000000-0005-0000-0000-0000D50D0000}"/>
    <cellStyle name="Normal 3 2 6 5" xfId="4530" xr:uid="{00000000-0005-0000-0000-0000D60D0000}"/>
    <cellStyle name="Normal 3 2 7" xfId="550" xr:uid="{00000000-0005-0000-0000-0000D70D0000}"/>
    <cellStyle name="Normal 3 2 7 2" xfId="1609" xr:uid="{00000000-0005-0000-0000-0000D80D0000}"/>
    <cellStyle name="Normal 3 2 7 2 2" xfId="3731" xr:uid="{00000000-0005-0000-0000-0000D90D0000}"/>
    <cellStyle name="Normal 3 2 7 2 2 2" xfId="7977" xr:uid="{00000000-0005-0000-0000-0000DA0D0000}"/>
    <cellStyle name="Normal 3 2 7 2 3" xfId="5855" xr:uid="{00000000-0005-0000-0000-0000DB0D0000}"/>
    <cellStyle name="Normal 3 2 7 3" xfId="2672" xr:uid="{00000000-0005-0000-0000-0000DC0D0000}"/>
    <cellStyle name="Normal 3 2 7 3 2" xfId="6918" xr:uid="{00000000-0005-0000-0000-0000DD0D0000}"/>
    <cellStyle name="Normal 3 2 7 4" xfId="4796" xr:uid="{00000000-0005-0000-0000-0000DE0D0000}"/>
    <cellStyle name="Normal 3 2 8" xfId="1080" xr:uid="{00000000-0005-0000-0000-0000DF0D0000}"/>
    <cellStyle name="Normal 3 2 8 2" xfId="3202" xr:uid="{00000000-0005-0000-0000-0000E00D0000}"/>
    <cellStyle name="Normal 3 2 8 2 2" xfId="7448" xr:uid="{00000000-0005-0000-0000-0000E10D0000}"/>
    <cellStyle name="Normal 3 2 8 3" xfId="5326" xr:uid="{00000000-0005-0000-0000-0000E20D0000}"/>
    <cellStyle name="Normal 3 2 9" xfId="2143" xr:uid="{00000000-0005-0000-0000-0000E30D0000}"/>
    <cellStyle name="Normal 3 2 9 2" xfId="6389" xr:uid="{00000000-0005-0000-0000-0000E40D0000}"/>
    <cellStyle name="Normal 3 3" xfId="29" xr:uid="{00000000-0005-0000-0000-0000E50D0000}"/>
    <cellStyle name="Normal 3 3 2" xfId="115" xr:uid="{00000000-0005-0000-0000-0000E60D0000}"/>
    <cellStyle name="Normal 3 3 2 2" xfId="246" xr:uid="{00000000-0005-0000-0000-0000E70D0000}"/>
    <cellStyle name="Normal 3 3 2 2 2" xfId="509" xr:uid="{00000000-0005-0000-0000-0000E80D0000}"/>
    <cellStyle name="Normal 3 3 2 2 2 2" xfId="1039" xr:uid="{00000000-0005-0000-0000-0000E90D0000}"/>
    <cellStyle name="Normal 3 3 2 2 2 2 2" xfId="2098" xr:uid="{00000000-0005-0000-0000-0000EA0D0000}"/>
    <cellStyle name="Normal 3 3 2 2 2 2 2 2" xfId="4220" xr:uid="{00000000-0005-0000-0000-0000EB0D0000}"/>
    <cellStyle name="Normal 3 3 2 2 2 2 2 2 2" xfId="8466" xr:uid="{00000000-0005-0000-0000-0000EC0D0000}"/>
    <cellStyle name="Normal 3 3 2 2 2 2 2 3" xfId="6344" xr:uid="{00000000-0005-0000-0000-0000ED0D0000}"/>
    <cellStyle name="Normal 3 3 2 2 2 2 3" xfId="3161" xr:uid="{00000000-0005-0000-0000-0000EE0D0000}"/>
    <cellStyle name="Normal 3 3 2 2 2 2 3 2" xfId="7407" xr:uid="{00000000-0005-0000-0000-0000EF0D0000}"/>
    <cellStyle name="Normal 3 3 2 2 2 2 4" xfId="5285" xr:uid="{00000000-0005-0000-0000-0000F00D0000}"/>
    <cellStyle name="Normal 3 3 2 2 2 3" xfId="1569" xr:uid="{00000000-0005-0000-0000-0000F10D0000}"/>
    <cellStyle name="Normal 3 3 2 2 2 3 2" xfId="3691" xr:uid="{00000000-0005-0000-0000-0000F20D0000}"/>
    <cellStyle name="Normal 3 3 2 2 2 3 2 2" xfId="7937" xr:uid="{00000000-0005-0000-0000-0000F30D0000}"/>
    <cellStyle name="Normal 3 3 2 2 2 3 3" xfId="5815" xr:uid="{00000000-0005-0000-0000-0000F40D0000}"/>
    <cellStyle name="Normal 3 3 2 2 2 4" xfId="2632" xr:uid="{00000000-0005-0000-0000-0000F50D0000}"/>
    <cellStyle name="Normal 3 3 2 2 2 4 2" xfId="6878" xr:uid="{00000000-0005-0000-0000-0000F60D0000}"/>
    <cellStyle name="Normal 3 3 2 2 2 5" xfId="4756" xr:uid="{00000000-0005-0000-0000-0000F70D0000}"/>
    <cellStyle name="Normal 3 3 2 2 3" xfId="776" xr:uid="{00000000-0005-0000-0000-0000F80D0000}"/>
    <cellStyle name="Normal 3 3 2 2 3 2" xfId="1835" xr:uid="{00000000-0005-0000-0000-0000F90D0000}"/>
    <cellStyle name="Normal 3 3 2 2 3 2 2" xfId="3957" xr:uid="{00000000-0005-0000-0000-0000FA0D0000}"/>
    <cellStyle name="Normal 3 3 2 2 3 2 2 2" xfId="8203" xr:uid="{00000000-0005-0000-0000-0000FB0D0000}"/>
    <cellStyle name="Normal 3 3 2 2 3 2 3" xfId="6081" xr:uid="{00000000-0005-0000-0000-0000FC0D0000}"/>
    <cellStyle name="Normal 3 3 2 2 3 3" xfId="2898" xr:uid="{00000000-0005-0000-0000-0000FD0D0000}"/>
    <cellStyle name="Normal 3 3 2 2 3 3 2" xfId="7144" xr:uid="{00000000-0005-0000-0000-0000FE0D0000}"/>
    <cellStyle name="Normal 3 3 2 2 3 4" xfId="5022" xr:uid="{00000000-0005-0000-0000-0000FF0D0000}"/>
    <cellStyle name="Normal 3 3 2 2 4" xfId="1306" xr:uid="{00000000-0005-0000-0000-0000000E0000}"/>
    <cellStyle name="Normal 3 3 2 2 4 2" xfId="3428" xr:uid="{00000000-0005-0000-0000-0000010E0000}"/>
    <cellStyle name="Normal 3 3 2 2 4 2 2" xfId="7674" xr:uid="{00000000-0005-0000-0000-0000020E0000}"/>
    <cellStyle name="Normal 3 3 2 2 4 3" xfId="5552" xr:uid="{00000000-0005-0000-0000-0000030E0000}"/>
    <cellStyle name="Normal 3 3 2 2 5" xfId="2369" xr:uid="{00000000-0005-0000-0000-0000040E0000}"/>
    <cellStyle name="Normal 3 3 2 2 5 2" xfId="6615" xr:uid="{00000000-0005-0000-0000-0000050E0000}"/>
    <cellStyle name="Normal 3 3 2 2 6" xfId="4493" xr:uid="{00000000-0005-0000-0000-0000060E0000}"/>
    <cellStyle name="Normal 3 3 2 3" xfId="378" xr:uid="{00000000-0005-0000-0000-0000070E0000}"/>
    <cellStyle name="Normal 3 3 2 3 2" xfId="908" xr:uid="{00000000-0005-0000-0000-0000080E0000}"/>
    <cellStyle name="Normal 3 3 2 3 2 2" xfId="1967" xr:uid="{00000000-0005-0000-0000-0000090E0000}"/>
    <cellStyle name="Normal 3 3 2 3 2 2 2" xfId="4089" xr:uid="{00000000-0005-0000-0000-00000A0E0000}"/>
    <cellStyle name="Normal 3 3 2 3 2 2 2 2" xfId="8335" xr:uid="{00000000-0005-0000-0000-00000B0E0000}"/>
    <cellStyle name="Normal 3 3 2 3 2 2 3" xfId="6213" xr:uid="{00000000-0005-0000-0000-00000C0E0000}"/>
    <cellStyle name="Normal 3 3 2 3 2 3" xfId="3030" xr:uid="{00000000-0005-0000-0000-00000D0E0000}"/>
    <cellStyle name="Normal 3 3 2 3 2 3 2" xfId="7276" xr:uid="{00000000-0005-0000-0000-00000E0E0000}"/>
    <cellStyle name="Normal 3 3 2 3 2 4" xfId="5154" xr:uid="{00000000-0005-0000-0000-00000F0E0000}"/>
    <cellStyle name="Normal 3 3 2 3 3" xfId="1438" xr:uid="{00000000-0005-0000-0000-0000100E0000}"/>
    <cellStyle name="Normal 3 3 2 3 3 2" xfId="3560" xr:uid="{00000000-0005-0000-0000-0000110E0000}"/>
    <cellStyle name="Normal 3 3 2 3 3 2 2" xfId="7806" xr:uid="{00000000-0005-0000-0000-0000120E0000}"/>
    <cellStyle name="Normal 3 3 2 3 3 3" xfId="5684" xr:uid="{00000000-0005-0000-0000-0000130E0000}"/>
    <cellStyle name="Normal 3 3 2 3 4" xfId="2501" xr:uid="{00000000-0005-0000-0000-0000140E0000}"/>
    <cellStyle name="Normal 3 3 2 3 4 2" xfId="6747" xr:uid="{00000000-0005-0000-0000-0000150E0000}"/>
    <cellStyle name="Normal 3 3 2 3 5" xfId="4625" xr:uid="{00000000-0005-0000-0000-0000160E0000}"/>
    <cellStyle name="Normal 3 3 2 4" xfId="645" xr:uid="{00000000-0005-0000-0000-0000170E0000}"/>
    <cellStyle name="Normal 3 3 2 4 2" xfId="1704" xr:uid="{00000000-0005-0000-0000-0000180E0000}"/>
    <cellStyle name="Normal 3 3 2 4 2 2" xfId="3826" xr:uid="{00000000-0005-0000-0000-0000190E0000}"/>
    <cellStyle name="Normal 3 3 2 4 2 2 2" xfId="8072" xr:uid="{00000000-0005-0000-0000-00001A0E0000}"/>
    <cellStyle name="Normal 3 3 2 4 2 3" xfId="5950" xr:uid="{00000000-0005-0000-0000-00001B0E0000}"/>
    <cellStyle name="Normal 3 3 2 4 3" xfId="2767" xr:uid="{00000000-0005-0000-0000-00001C0E0000}"/>
    <cellStyle name="Normal 3 3 2 4 3 2" xfId="7013" xr:uid="{00000000-0005-0000-0000-00001D0E0000}"/>
    <cellStyle name="Normal 3 3 2 4 4" xfId="4891" xr:uid="{00000000-0005-0000-0000-00001E0E0000}"/>
    <cellStyle name="Normal 3 3 2 5" xfId="1175" xr:uid="{00000000-0005-0000-0000-00001F0E0000}"/>
    <cellStyle name="Normal 3 3 2 5 2" xfId="3297" xr:uid="{00000000-0005-0000-0000-0000200E0000}"/>
    <cellStyle name="Normal 3 3 2 5 2 2" xfId="7543" xr:uid="{00000000-0005-0000-0000-0000210E0000}"/>
    <cellStyle name="Normal 3 3 2 5 3" xfId="5421" xr:uid="{00000000-0005-0000-0000-0000220E0000}"/>
    <cellStyle name="Normal 3 3 2 6" xfId="2238" xr:uid="{00000000-0005-0000-0000-0000230E0000}"/>
    <cellStyle name="Normal 3 3 2 6 2" xfId="6484" xr:uid="{00000000-0005-0000-0000-0000240E0000}"/>
    <cellStyle name="Normal 3 3 2 7" xfId="4362" xr:uid="{00000000-0005-0000-0000-0000250E0000}"/>
    <cellStyle name="Normal 3 3 3" xfId="72" xr:uid="{00000000-0005-0000-0000-0000260E0000}"/>
    <cellStyle name="Normal 3 3 3 2" xfId="204" xr:uid="{00000000-0005-0000-0000-0000270E0000}"/>
    <cellStyle name="Normal 3 3 3 2 2" xfId="467" xr:uid="{00000000-0005-0000-0000-0000280E0000}"/>
    <cellStyle name="Normal 3 3 3 2 2 2" xfId="997" xr:uid="{00000000-0005-0000-0000-0000290E0000}"/>
    <cellStyle name="Normal 3 3 3 2 2 2 2" xfId="2056" xr:uid="{00000000-0005-0000-0000-00002A0E0000}"/>
    <cellStyle name="Normal 3 3 3 2 2 2 2 2" xfId="4178" xr:uid="{00000000-0005-0000-0000-00002B0E0000}"/>
    <cellStyle name="Normal 3 3 3 2 2 2 2 2 2" xfId="8424" xr:uid="{00000000-0005-0000-0000-00002C0E0000}"/>
    <cellStyle name="Normal 3 3 3 2 2 2 2 3" xfId="6302" xr:uid="{00000000-0005-0000-0000-00002D0E0000}"/>
    <cellStyle name="Normal 3 3 3 2 2 2 3" xfId="3119" xr:uid="{00000000-0005-0000-0000-00002E0E0000}"/>
    <cellStyle name="Normal 3 3 3 2 2 2 3 2" xfId="7365" xr:uid="{00000000-0005-0000-0000-00002F0E0000}"/>
    <cellStyle name="Normal 3 3 3 2 2 2 4" xfId="5243" xr:uid="{00000000-0005-0000-0000-0000300E0000}"/>
    <cellStyle name="Normal 3 3 3 2 2 3" xfId="1527" xr:uid="{00000000-0005-0000-0000-0000310E0000}"/>
    <cellStyle name="Normal 3 3 3 2 2 3 2" xfId="3649" xr:uid="{00000000-0005-0000-0000-0000320E0000}"/>
    <cellStyle name="Normal 3 3 3 2 2 3 2 2" xfId="7895" xr:uid="{00000000-0005-0000-0000-0000330E0000}"/>
    <cellStyle name="Normal 3 3 3 2 2 3 3" xfId="5773" xr:uid="{00000000-0005-0000-0000-0000340E0000}"/>
    <cellStyle name="Normal 3 3 3 2 2 4" xfId="2590" xr:uid="{00000000-0005-0000-0000-0000350E0000}"/>
    <cellStyle name="Normal 3 3 3 2 2 4 2" xfId="6836" xr:uid="{00000000-0005-0000-0000-0000360E0000}"/>
    <cellStyle name="Normal 3 3 3 2 2 5" xfId="4714" xr:uid="{00000000-0005-0000-0000-0000370E0000}"/>
    <cellStyle name="Normal 3 3 3 2 3" xfId="734" xr:uid="{00000000-0005-0000-0000-0000380E0000}"/>
    <cellStyle name="Normal 3 3 3 2 3 2" xfId="1793" xr:uid="{00000000-0005-0000-0000-0000390E0000}"/>
    <cellStyle name="Normal 3 3 3 2 3 2 2" xfId="3915" xr:uid="{00000000-0005-0000-0000-00003A0E0000}"/>
    <cellStyle name="Normal 3 3 3 2 3 2 2 2" xfId="8161" xr:uid="{00000000-0005-0000-0000-00003B0E0000}"/>
    <cellStyle name="Normal 3 3 3 2 3 2 3" xfId="6039" xr:uid="{00000000-0005-0000-0000-00003C0E0000}"/>
    <cellStyle name="Normal 3 3 3 2 3 3" xfId="2856" xr:uid="{00000000-0005-0000-0000-00003D0E0000}"/>
    <cellStyle name="Normal 3 3 3 2 3 3 2" xfId="7102" xr:uid="{00000000-0005-0000-0000-00003E0E0000}"/>
    <cellStyle name="Normal 3 3 3 2 3 4" xfId="4980" xr:uid="{00000000-0005-0000-0000-00003F0E0000}"/>
    <cellStyle name="Normal 3 3 3 2 4" xfId="1264" xr:uid="{00000000-0005-0000-0000-0000400E0000}"/>
    <cellStyle name="Normal 3 3 3 2 4 2" xfId="3386" xr:uid="{00000000-0005-0000-0000-0000410E0000}"/>
    <cellStyle name="Normal 3 3 3 2 4 2 2" xfId="7632" xr:uid="{00000000-0005-0000-0000-0000420E0000}"/>
    <cellStyle name="Normal 3 3 3 2 4 3" xfId="5510" xr:uid="{00000000-0005-0000-0000-0000430E0000}"/>
    <cellStyle name="Normal 3 3 3 2 5" xfId="2327" xr:uid="{00000000-0005-0000-0000-0000440E0000}"/>
    <cellStyle name="Normal 3 3 3 2 5 2" xfId="6573" xr:uid="{00000000-0005-0000-0000-0000450E0000}"/>
    <cellStyle name="Normal 3 3 3 2 6" xfId="4451" xr:uid="{00000000-0005-0000-0000-0000460E0000}"/>
    <cellStyle name="Normal 3 3 3 3" xfId="336" xr:uid="{00000000-0005-0000-0000-0000470E0000}"/>
    <cellStyle name="Normal 3 3 3 3 2" xfId="866" xr:uid="{00000000-0005-0000-0000-0000480E0000}"/>
    <cellStyle name="Normal 3 3 3 3 2 2" xfId="1925" xr:uid="{00000000-0005-0000-0000-0000490E0000}"/>
    <cellStyle name="Normal 3 3 3 3 2 2 2" xfId="4047" xr:uid="{00000000-0005-0000-0000-00004A0E0000}"/>
    <cellStyle name="Normal 3 3 3 3 2 2 2 2" xfId="8293" xr:uid="{00000000-0005-0000-0000-00004B0E0000}"/>
    <cellStyle name="Normal 3 3 3 3 2 2 3" xfId="6171" xr:uid="{00000000-0005-0000-0000-00004C0E0000}"/>
    <cellStyle name="Normal 3 3 3 3 2 3" xfId="2988" xr:uid="{00000000-0005-0000-0000-00004D0E0000}"/>
    <cellStyle name="Normal 3 3 3 3 2 3 2" xfId="7234" xr:uid="{00000000-0005-0000-0000-00004E0E0000}"/>
    <cellStyle name="Normal 3 3 3 3 2 4" xfId="5112" xr:uid="{00000000-0005-0000-0000-00004F0E0000}"/>
    <cellStyle name="Normal 3 3 3 3 3" xfId="1396" xr:uid="{00000000-0005-0000-0000-0000500E0000}"/>
    <cellStyle name="Normal 3 3 3 3 3 2" xfId="3518" xr:uid="{00000000-0005-0000-0000-0000510E0000}"/>
    <cellStyle name="Normal 3 3 3 3 3 2 2" xfId="7764" xr:uid="{00000000-0005-0000-0000-0000520E0000}"/>
    <cellStyle name="Normal 3 3 3 3 3 3" xfId="5642" xr:uid="{00000000-0005-0000-0000-0000530E0000}"/>
    <cellStyle name="Normal 3 3 3 3 4" xfId="2459" xr:uid="{00000000-0005-0000-0000-0000540E0000}"/>
    <cellStyle name="Normal 3 3 3 3 4 2" xfId="6705" xr:uid="{00000000-0005-0000-0000-0000550E0000}"/>
    <cellStyle name="Normal 3 3 3 3 5" xfId="4583" xr:uid="{00000000-0005-0000-0000-0000560E0000}"/>
    <cellStyle name="Normal 3 3 3 4" xfId="603" xr:uid="{00000000-0005-0000-0000-0000570E0000}"/>
    <cellStyle name="Normal 3 3 3 4 2" xfId="1662" xr:uid="{00000000-0005-0000-0000-0000580E0000}"/>
    <cellStyle name="Normal 3 3 3 4 2 2" xfId="3784" xr:uid="{00000000-0005-0000-0000-0000590E0000}"/>
    <cellStyle name="Normal 3 3 3 4 2 2 2" xfId="8030" xr:uid="{00000000-0005-0000-0000-00005A0E0000}"/>
    <cellStyle name="Normal 3 3 3 4 2 3" xfId="5908" xr:uid="{00000000-0005-0000-0000-00005B0E0000}"/>
    <cellStyle name="Normal 3 3 3 4 3" xfId="2725" xr:uid="{00000000-0005-0000-0000-00005C0E0000}"/>
    <cellStyle name="Normal 3 3 3 4 3 2" xfId="6971" xr:uid="{00000000-0005-0000-0000-00005D0E0000}"/>
    <cellStyle name="Normal 3 3 3 4 4" xfId="4849" xr:uid="{00000000-0005-0000-0000-00005E0E0000}"/>
    <cellStyle name="Normal 3 3 3 5" xfId="1133" xr:uid="{00000000-0005-0000-0000-00005F0E0000}"/>
    <cellStyle name="Normal 3 3 3 5 2" xfId="3255" xr:uid="{00000000-0005-0000-0000-0000600E0000}"/>
    <cellStyle name="Normal 3 3 3 5 2 2" xfId="7501" xr:uid="{00000000-0005-0000-0000-0000610E0000}"/>
    <cellStyle name="Normal 3 3 3 5 3" xfId="5379" xr:uid="{00000000-0005-0000-0000-0000620E0000}"/>
    <cellStyle name="Normal 3 3 3 6" xfId="2196" xr:uid="{00000000-0005-0000-0000-0000630E0000}"/>
    <cellStyle name="Normal 3 3 3 6 2" xfId="6442" xr:uid="{00000000-0005-0000-0000-0000640E0000}"/>
    <cellStyle name="Normal 3 3 3 7" xfId="4320" xr:uid="{00000000-0005-0000-0000-0000650E0000}"/>
    <cellStyle name="Normal 3 3 4" xfId="161" xr:uid="{00000000-0005-0000-0000-0000660E0000}"/>
    <cellStyle name="Normal 3 3 4 2" xfId="424" xr:uid="{00000000-0005-0000-0000-0000670E0000}"/>
    <cellStyle name="Normal 3 3 4 2 2" xfId="954" xr:uid="{00000000-0005-0000-0000-0000680E0000}"/>
    <cellStyle name="Normal 3 3 4 2 2 2" xfId="2013" xr:uid="{00000000-0005-0000-0000-0000690E0000}"/>
    <cellStyle name="Normal 3 3 4 2 2 2 2" xfId="4135" xr:uid="{00000000-0005-0000-0000-00006A0E0000}"/>
    <cellStyle name="Normal 3 3 4 2 2 2 2 2" xfId="8381" xr:uid="{00000000-0005-0000-0000-00006B0E0000}"/>
    <cellStyle name="Normal 3 3 4 2 2 2 3" xfId="6259" xr:uid="{00000000-0005-0000-0000-00006C0E0000}"/>
    <cellStyle name="Normal 3 3 4 2 2 3" xfId="3076" xr:uid="{00000000-0005-0000-0000-00006D0E0000}"/>
    <cellStyle name="Normal 3 3 4 2 2 3 2" xfId="7322" xr:uid="{00000000-0005-0000-0000-00006E0E0000}"/>
    <cellStyle name="Normal 3 3 4 2 2 4" xfId="5200" xr:uid="{00000000-0005-0000-0000-00006F0E0000}"/>
    <cellStyle name="Normal 3 3 4 2 3" xfId="1484" xr:uid="{00000000-0005-0000-0000-0000700E0000}"/>
    <cellStyle name="Normal 3 3 4 2 3 2" xfId="3606" xr:uid="{00000000-0005-0000-0000-0000710E0000}"/>
    <cellStyle name="Normal 3 3 4 2 3 2 2" xfId="7852" xr:uid="{00000000-0005-0000-0000-0000720E0000}"/>
    <cellStyle name="Normal 3 3 4 2 3 3" xfId="5730" xr:uid="{00000000-0005-0000-0000-0000730E0000}"/>
    <cellStyle name="Normal 3 3 4 2 4" xfId="2547" xr:uid="{00000000-0005-0000-0000-0000740E0000}"/>
    <cellStyle name="Normal 3 3 4 2 4 2" xfId="6793" xr:uid="{00000000-0005-0000-0000-0000750E0000}"/>
    <cellStyle name="Normal 3 3 4 2 5" xfId="4671" xr:uid="{00000000-0005-0000-0000-0000760E0000}"/>
    <cellStyle name="Normal 3 3 4 3" xfId="691" xr:uid="{00000000-0005-0000-0000-0000770E0000}"/>
    <cellStyle name="Normal 3 3 4 3 2" xfId="1750" xr:uid="{00000000-0005-0000-0000-0000780E0000}"/>
    <cellStyle name="Normal 3 3 4 3 2 2" xfId="3872" xr:uid="{00000000-0005-0000-0000-0000790E0000}"/>
    <cellStyle name="Normal 3 3 4 3 2 2 2" xfId="8118" xr:uid="{00000000-0005-0000-0000-00007A0E0000}"/>
    <cellStyle name="Normal 3 3 4 3 2 3" xfId="5996" xr:uid="{00000000-0005-0000-0000-00007B0E0000}"/>
    <cellStyle name="Normal 3 3 4 3 3" xfId="2813" xr:uid="{00000000-0005-0000-0000-00007C0E0000}"/>
    <cellStyle name="Normal 3 3 4 3 3 2" xfId="7059" xr:uid="{00000000-0005-0000-0000-00007D0E0000}"/>
    <cellStyle name="Normal 3 3 4 3 4" xfId="4937" xr:uid="{00000000-0005-0000-0000-00007E0E0000}"/>
    <cellStyle name="Normal 3 3 4 4" xfId="1221" xr:uid="{00000000-0005-0000-0000-00007F0E0000}"/>
    <cellStyle name="Normal 3 3 4 4 2" xfId="3343" xr:uid="{00000000-0005-0000-0000-0000800E0000}"/>
    <cellStyle name="Normal 3 3 4 4 2 2" xfId="7589" xr:uid="{00000000-0005-0000-0000-0000810E0000}"/>
    <cellStyle name="Normal 3 3 4 4 3" xfId="5467" xr:uid="{00000000-0005-0000-0000-0000820E0000}"/>
    <cellStyle name="Normal 3 3 4 5" xfId="2284" xr:uid="{00000000-0005-0000-0000-0000830E0000}"/>
    <cellStyle name="Normal 3 3 4 5 2" xfId="6530" xr:uid="{00000000-0005-0000-0000-0000840E0000}"/>
    <cellStyle name="Normal 3 3 4 6" xfId="4408" xr:uid="{00000000-0005-0000-0000-0000850E0000}"/>
    <cellStyle name="Normal 3 3 5" xfId="293" xr:uid="{00000000-0005-0000-0000-0000860E0000}"/>
    <cellStyle name="Normal 3 3 5 2" xfId="823" xr:uid="{00000000-0005-0000-0000-0000870E0000}"/>
    <cellStyle name="Normal 3 3 5 2 2" xfId="1882" xr:uid="{00000000-0005-0000-0000-0000880E0000}"/>
    <cellStyle name="Normal 3 3 5 2 2 2" xfId="4004" xr:uid="{00000000-0005-0000-0000-0000890E0000}"/>
    <cellStyle name="Normal 3 3 5 2 2 2 2" xfId="8250" xr:uid="{00000000-0005-0000-0000-00008A0E0000}"/>
    <cellStyle name="Normal 3 3 5 2 2 3" xfId="6128" xr:uid="{00000000-0005-0000-0000-00008B0E0000}"/>
    <cellStyle name="Normal 3 3 5 2 3" xfId="2945" xr:uid="{00000000-0005-0000-0000-00008C0E0000}"/>
    <cellStyle name="Normal 3 3 5 2 3 2" xfId="7191" xr:uid="{00000000-0005-0000-0000-00008D0E0000}"/>
    <cellStyle name="Normal 3 3 5 2 4" xfId="5069" xr:uid="{00000000-0005-0000-0000-00008E0E0000}"/>
    <cellStyle name="Normal 3 3 5 3" xfId="1353" xr:uid="{00000000-0005-0000-0000-00008F0E0000}"/>
    <cellStyle name="Normal 3 3 5 3 2" xfId="3475" xr:uid="{00000000-0005-0000-0000-0000900E0000}"/>
    <cellStyle name="Normal 3 3 5 3 2 2" xfId="7721" xr:uid="{00000000-0005-0000-0000-0000910E0000}"/>
    <cellStyle name="Normal 3 3 5 3 3" xfId="5599" xr:uid="{00000000-0005-0000-0000-0000920E0000}"/>
    <cellStyle name="Normal 3 3 5 4" xfId="2416" xr:uid="{00000000-0005-0000-0000-0000930E0000}"/>
    <cellStyle name="Normal 3 3 5 4 2" xfId="6662" xr:uid="{00000000-0005-0000-0000-0000940E0000}"/>
    <cellStyle name="Normal 3 3 5 5" xfId="4540" xr:uid="{00000000-0005-0000-0000-0000950E0000}"/>
    <cellStyle name="Normal 3 3 6" xfId="560" xr:uid="{00000000-0005-0000-0000-0000960E0000}"/>
    <cellStyle name="Normal 3 3 6 2" xfId="1619" xr:uid="{00000000-0005-0000-0000-0000970E0000}"/>
    <cellStyle name="Normal 3 3 6 2 2" xfId="3741" xr:uid="{00000000-0005-0000-0000-0000980E0000}"/>
    <cellStyle name="Normal 3 3 6 2 2 2" xfId="7987" xr:uid="{00000000-0005-0000-0000-0000990E0000}"/>
    <cellStyle name="Normal 3 3 6 2 3" xfId="5865" xr:uid="{00000000-0005-0000-0000-00009A0E0000}"/>
    <cellStyle name="Normal 3 3 6 3" xfId="2682" xr:uid="{00000000-0005-0000-0000-00009B0E0000}"/>
    <cellStyle name="Normal 3 3 6 3 2" xfId="6928" xr:uid="{00000000-0005-0000-0000-00009C0E0000}"/>
    <cellStyle name="Normal 3 3 6 4" xfId="4806" xr:uid="{00000000-0005-0000-0000-00009D0E0000}"/>
    <cellStyle name="Normal 3 3 7" xfId="1090" xr:uid="{00000000-0005-0000-0000-00009E0E0000}"/>
    <cellStyle name="Normal 3 3 7 2" xfId="3212" xr:uid="{00000000-0005-0000-0000-00009F0E0000}"/>
    <cellStyle name="Normal 3 3 7 2 2" xfId="7458" xr:uid="{00000000-0005-0000-0000-0000A00E0000}"/>
    <cellStyle name="Normal 3 3 7 3" xfId="5336" xr:uid="{00000000-0005-0000-0000-0000A10E0000}"/>
    <cellStyle name="Normal 3 3 8" xfId="2153" xr:uid="{00000000-0005-0000-0000-0000A20E0000}"/>
    <cellStyle name="Normal 3 3 8 2" xfId="6399" xr:uid="{00000000-0005-0000-0000-0000A30E0000}"/>
    <cellStyle name="Normal 3 3 9" xfId="4277" xr:uid="{00000000-0005-0000-0000-0000A40E0000}"/>
    <cellStyle name="Normal 3 4" xfId="95" xr:uid="{00000000-0005-0000-0000-0000A50E0000}"/>
    <cellStyle name="Normal 3 4 2" xfId="226" xr:uid="{00000000-0005-0000-0000-0000A60E0000}"/>
    <cellStyle name="Normal 3 4 2 2" xfId="489" xr:uid="{00000000-0005-0000-0000-0000A70E0000}"/>
    <cellStyle name="Normal 3 4 2 2 2" xfId="1019" xr:uid="{00000000-0005-0000-0000-0000A80E0000}"/>
    <cellStyle name="Normal 3 4 2 2 2 2" xfId="2078" xr:uid="{00000000-0005-0000-0000-0000A90E0000}"/>
    <cellStyle name="Normal 3 4 2 2 2 2 2" xfId="4200" xr:uid="{00000000-0005-0000-0000-0000AA0E0000}"/>
    <cellStyle name="Normal 3 4 2 2 2 2 2 2" xfId="8446" xr:uid="{00000000-0005-0000-0000-0000AB0E0000}"/>
    <cellStyle name="Normal 3 4 2 2 2 2 3" xfId="6324" xr:uid="{00000000-0005-0000-0000-0000AC0E0000}"/>
    <cellStyle name="Normal 3 4 2 2 2 3" xfId="3141" xr:uid="{00000000-0005-0000-0000-0000AD0E0000}"/>
    <cellStyle name="Normal 3 4 2 2 2 3 2" xfId="7387" xr:uid="{00000000-0005-0000-0000-0000AE0E0000}"/>
    <cellStyle name="Normal 3 4 2 2 2 4" xfId="5265" xr:uid="{00000000-0005-0000-0000-0000AF0E0000}"/>
    <cellStyle name="Normal 3 4 2 2 3" xfId="1549" xr:uid="{00000000-0005-0000-0000-0000B00E0000}"/>
    <cellStyle name="Normal 3 4 2 2 3 2" xfId="3671" xr:uid="{00000000-0005-0000-0000-0000B10E0000}"/>
    <cellStyle name="Normal 3 4 2 2 3 2 2" xfId="7917" xr:uid="{00000000-0005-0000-0000-0000B20E0000}"/>
    <cellStyle name="Normal 3 4 2 2 3 3" xfId="5795" xr:uid="{00000000-0005-0000-0000-0000B30E0000}"/>
    <cellStyle name="Normal 3 4 2 2 4" xfId="2612" xr:uid="{00000000-0005-0000-0000-0000B40E0000}"/>
    <cellStyle name="Normal 3 4 2 2 4 2" xfId="6858" xr:uid="{00000000-0005-0000-0000-0000B50E0000}"/>
    <cellStyle name="Normal 3 4 2 2 5" xfId="4736" xr:uid="{00000000-0005-0000-0000-0000B60E0000}"/>
    <cellStyle name="Normal 3 4 2 3" xfId="756" xr:uid="{00000000-0005-0000-0000-0000B70E0000}"/>
    <cellStyle name="Normal 3 4 2 3 2" xfId="1815" xr:uid="{00000000-0005-0000-0000-0000B80E0000}"/>
    <cellStyle name="Normal 3 4 2 3 2 2" xfId="3937" xr:uid="{00000000-0005-0000-0000-0000B90E0000}"/>
    <cellStyle name="Normal 3 4 2 3 2 2 2" xfId="8183" xr:uid="{00000000-0005-0000-0000-0000BA0E0000}"/>
    <cellStyle name="Normal 3 4 2 3 2 3" xfId="6061" xr:uid="{00000000-0005-0000-0000-0000BB0E0000}"/>
    <cellStyle name="Normal 3 4 2 3 3" xfId="2878" xr:uid="{00000000-0005-0000-0000-0000BC0E0000}"/>
    <cellStyle name="Normal 3 4 2 3 3 2" xfId="7124" xr:uid="{00000000-0005-0000-0000-0000BD0E0000}"/>
    <cellStyle name="Normal 3 4 2 3 4" xfId="5002" xr:uid="{00000000-0005-0000-0000-0000BE0E0000}"/>
    <cellStyle name="Normal 3 4 2 4" xfId="1286" xr:uid="{00000000-0005-0000-0000-0000BF0E0000}"/>
    <cellStyle name="Normal 3 4 2 4 2" xfId="3408" xr:uid="{00000000-0005-0000-0000-0000C00E0000}"/>
    <cellStyle name="Normal 3 4 2 4 2 2" xfId="7654" xr:uid="{00000000-0005-0000-0000-0000C10E0000}"/>
    <cellStyle name="Normal 3 4 2 4 3" xfId="5532" xr:uid="{00000000-0005-0000-0000-0000C20E0000}"/>
    <cellStyle name="Normal 3 4 2 5" xfId="2349" xr:uid="{00000000-0005-0000-0000-0000C30E0000}"/>
    <cellStyle name="Normal 3 4 2 5 2" xfId="6595" xr:uid="{00000000-0005-0000-0000-0000C40E0000}"/>
    <cellStyle name="Normal 3 4 2 6" xfId="4473" xr:uid="{00000000-0005-0000-0000-0000C50E0000}"/>
    <cellStyle name="Normal 3 4 3" xfId="358" xr:uid="{00000000-0005-0000-0000-0000C60E0000}"/>
    <cellStyle name="Normal 3 4 3 2" xfId="888" xr:uid="{00000000-0005-0000-0000-0000C70E0000}"/>
    <cellStyle name="Normal 3 4 3 2 2" xfId="1947" xr:uid="{00000000-0005-0000-0000-0000C80E0000}"/>
    <cellStyle name="Normal 3 4 3 2 2 2" xfId="4069" xr:uid="{00000000-0005-0000-0000-0000C90E0000}"/>
    <cellStyle name="Normal 3 4 3 2 2 2 2" xfId="8315" xr:uid="{00000000-0005-0000-0000-0000CA0E0000}"/>
    <cellStyle name="Normal 3 4 3 2 2 3" xfId="6193" xr:uid="{00000000-0005-0000-0000-0000CB0E0000}"/>
    <cellStyle name="Normal 3 4 3 2 3" xfId="3010" xr:uid="{00000000-0005-0000-0000-0000CC0E0000}"/>
    <cellStyle name="Normal 3 4 3 2 3 2" xfId="7256" xr:uid="{00000000-0005-0000-0000-0000CD0E0000}"/>
    <cellStyle name="Normal 3 4 3 2 4" xfId="5134" xr:uid="{00000000-0005-0000-0000-0000CE0E0000}"/>
    <cellStyle name="Normal 3 4 3 3" xfId="1418" xr:uid="{00000000-0005-0000-0000-0000CF0E0000}"/>
    <cellStyle name="Normal 3 4 3 3 2" xfId="3540" xr:uid="{00000000-0005-0000-0000-0000D00E0000}"/>
    <cellStyle name="Normal 3 4 3 3 2 2" xfId="7786" xr:uid="{00000000-0005-0000-0000-0000D10E0000}"/>
    <cellStyle name="Normal 3 4 3 3 3" xfId="5664" xr:uid="{00000000-0005-0000-0000-0000D20E0000}"/>
    <cellStyle name="Normal 3 4 3 4" xfId="2481" xr:uid="{00000000-0005-0000-0000-0000D30E0000}"/>
    <cellStyle name="Normal 3 4 3 4 2" xfId="6727" xr:uid="{00000000-0005-0000-0000-0000D40E0000}"/>
    <cellStyle name="Normal 3 4 3 5" xfId="4605" xr:uid="{00000000-0005-0000-0000-0000D50E0000}"/>
    <cellStyle name="Normal 3 4 4" xfId="625" xr:uid="{00000000-0005-0000-0000-0000D60E0000}"/>
    <cellStyle name="Normal 3 4 4 2" xfId="1684" xr:uid="{00000000-0005-0000-0000-0000D70E0000}"/>
    <cellStyle name="Normal 3 4 4 2 2" xfId="3806" xr:uid="{00000000-0005-0000-0000-0000D80E0000}"/>
    <cellStyle name="Normal 3 4 4 2 2 2" xfId="8052" xr:uid="{00000000-0005-0000-0000-0000D90E0000}"/>
    <cellStyle name="Normal 3 4 4 2 3" xfId="5930" xr:uid="{00000000-0005-0000-0000-0000DA0E0000}"/>
    <cellStyle name="Normal 3 4 4 3" xfId="2747" xr:uid="{00000000-0005-0000-0000-0000DB0E0000}"/>
    <cellStyle name="Normal 3 4 4 3 2" xfId="6993" xr:uid="{00000000-0005-0000-0000-0000DC0E0000}"/>
    <cellStyle name="Normal 3 4 4 4" xfId="4871" xr:uid="{00000000-0005-0000-0000-0000DD0E0000}"/>
    <cellStyle name="Normal 3 4 5" xfId="1155" xr:uid="{00000000-0005-0000-0000-0000DE0E0000}"/>
    <cellStyle name="Normal 3 4 5 2" xfId="3277" xr:uid="{00000000-0005-0000-0000-0000DF0E0000}"/>
    <cellStyle name="Normal 3 4 5 2 2" xfId="7523" xr:uid="{00000000-0005-0000-0000-0000E00E0000}"/>
    <cellStyle name="Normal 3 4 5 3" xfId="5401" xr:uid="{00000000-0005-0000-0000-0000E10E0000}"/>
    <cellStyle name="Normal 3 4 6" xfId="2218" xr:uid="{00000000-0005-0000-0000-0000E20E0000}"/>
    <cellStyle name="Normal 3 4 6 2" xfId="6464" xr:uid="{00000000-0005-0000-0000-0000E30E0000}"/>
    <cellStyle name="Normal 3 4 7" xfId="4342" xr:uid="{00000000-0005-0000-0000-0000E40E0000}"/>
    <cellStyle name="Normal 3 5" xfId="52" xr:uid="{00000000-0005-0000-0000-0000E50E0000}"/>
    <cellStyle name="Normal 3 5 2" xfId="184" xr:uid="{00000000-0005-0000-0000-0000E60E0000}"/>
    <cellStyle name="Normal 3 5 2 2" xfId="447" xr:uid="{00000000-0005-0000-0000-0000E70E0000}"/>
    <cellStyle name="Normal 3 5 2 2 2" xfId="977" xr:uid="{00000000-0005-0000-0000-0000E80E0000}"/>
    <cellStyle name="Normal 3 5 2 2 2 2" xfId="2036" xr:uid="{00000000-0005-0000-0000-0000E90E0000}"/>
    <cellStyle name="Normal 3 5 2 2 2 2 2" xfId="4158" xr:uid="{00000000-0005-0000-0000-0000EA0E0000}"/>
    <cellStyle name="Normal 3 5 2 2 2 2 2 2" xfId="8404" xr:uid="{00000000-0005-0000-0000-0000EB0E0000}"/>
    <cellStyle name="Normal 3 5 2 2 2 2 3" xfId="6282" xr:uid="{00000000-0005-0000-0000-0000EC0E0000}"/>
    <cellStyle name="Normal 3 5 2 2 2 3" xfId="3099" xr:uid="{00000000-0005-0000-0000-0000ED0E0000}"/>
    <cellStyle name="Normal 3 5 2 2 2 3 2" xfId="7345" xr:uid="{00000000-0005-0000-0000-0000EE0E0000}"/>
    <cellStyle name="Normal 3 5 2 2 2 4" xfId="5223" xr:uid="{00000000-0005-0000-0000-0000EF0E0000}"/>
    <cellStyle name="Normal 3 5 2 2 3" xfId="1507" xr:uid="{00000000-0005-0000-0000-0000F00E0000}"/>
    <cellStyle name="Normal 3 5 2 2 3 2" xfId="3629" xr:uid="{00000000-0005-0000-0000-0000F10E0000}"/>
    <cellStyle name="Normal 3 5 2 2 3 2 2" xfId="7875" xr:uid="{00000000-0005-0000-0000-0000F20E0000}"/>
    <cellStyle name="Normal 3 5 2 2 3 3" xfId="5753" xr:uid="{00000000-0005-0000-0000-0000F30E0000}"/>
    <cellStyle name="Normal 3 5 2 2 4" xfId="2570" xr:uid="{00000000-0005-0000-0000-0000F40E0000}"/>
    <cellStyle name="Normal 3 5 2 2 4 2" xfId="6816" xr:uid="{00000000-0005-0000-0000-0000F50E0000}"/>
    <cellStyle name="Normal 3 5 2 2 5" xfId="4694" xr:uid="{00000000-0005-0000-0000-0000F60E0000}"/>
    <cellStyle name="Normal 3 5 2 3" xfId="714" xr:uid="{00000000-0005-0000-0000-0000F70E0000}"/>
    <cellStyle name="Normal 3 5 2 3 2" xfId="1773" xr:uid="{00000000-0005-0000-0000-0000F80E0000}"/>
    <cellStyle name="Normal 3 5 2 3 2 2" xfId="3895" xr:uid="{00000000-0005-0000-0000-0000F90E0000}"/>
    <cellStyle name="Normal 3 5 2 3 2 2 2" xfId="8141" xr:uid="{00000000-0005-0000-0000-0000FA0E0000}"/>
    <cellStyle name="Normal 3 5 2 3 2 3" xfId="6019" xr:uid="{00000000-0005-0000-0000-0000FB0E0000}"/>
    <cellStyle name="Normal 3 5 2 3 3" xfId="2836" xr:uid="{00000000-0005-0000-0000-0000FC0E0000}"/>
    <cellStyle name="Normal 3 5 2 3 3 2" xfId="7082" xr:uid="{00000000-0005-0000-0000-0000FD0E0000}"/>
    <cellStyle name="Normal 3 5 2 3 4" xfId="4960" xr:uid="{00000000-0005-0000-0000-0000FE0E0000}"/>
    <cellStyle name="Normal 3 5 2 4" xfId="1244" xr:uid="{00000000-0005-0000-0000-0000FF0E0000}"/>
    <cellStyle name="Normal 3 5 2 4 2" xfId="3366" xr:uid="{00000000-0005-0000-0000-0000000F0000}"/>
    <cellStyle name="Normal 3 5 2 4 2 2" xfId="7612" xr:uid="{00000000-0005-0000-0000-0000010F0000}"/>
    <cellStyle name="Normal 3 5 2 4 3" xfId="5490" xr:uid="{00000000-0005-0000-0000-0000020F0000}"/>
    <cellStyle name="Normal 3 5 2 5" xfId="2307" xr:uid="{00000000-0005-0000-0000-0000030F0000}"/>
    <cellStyle name="Normal 3 5 2 5 2" xfId="6553" xr:uid="{00000000-0005-0000-0000-0000040F0000}"/>
    <cellStyle name="Normal 3 5 2 6" xfId="4431" xr:uid="{00000000-0005-0000-0000-0000050F0000}"/>
    <cellStyle name="Normal 3 5 3" xfId="316" xr:uid="{00000000-0005-0000-0000-0000060F0000}"/>
    <cellStyle name="Normal 3 5 3 2" xfId="846" xr:uid="{00000000-0005-0000-0000-0000070F0000}"/>
    <cellStyle name="Normal 3 5 3 2 2" xfId="1905" xr:uid="{00000000-0005-0000-0000-0000080F0000}"/>
    <cellStyle name="Normal 3 5 3 2 2 2" xfId="4027" xr:uid="{00000000-0005-0000-0000-0000090F0000}"/>
    <cellStyle name="Normal 3 5 3 2 2 2 2" xfId="8273" xr:uid="{00000000-0005-0000-0000-00000A0F0000}"/>
    <cellStyle name="Normal 3 5 3 2 2 3" xfId="6151" xr:uid="{00000000-0005-0000-0000-00000B0F0000}"/>
    <cellStyle name="Normal 3 5 3 2 3" xfId="2968" xr:uid="{00000000-0005-0000-0000-00000C0F0000}"/>
    <cellStyle name="Normal 3 5 3 2 3 2" xfId="7214" xr:uid="{00000000-0005-0000-0000-00000D0F0000}"/>
    <cellStyle name="Normal 3 5 3 2 4" xfId="5092" xr:uid="{00000000-0005-0000-0000-00000E0F0000}"/>
    <cellStyle name="Normal 3 5 3 3" xfId="1376" xr:uid="{00000000-0005-0000-0000-00000F0F0000}"/>
    <cellStyle name="Normal 3 5 3 3 2" xfId="3498" xr:uid="{00000000-0005-0000-0000-0000100F0000}"/>
    <cellStyle name="Normal 3 5 3 3 2 2" xfId="7744" xr:uid="{00000000-0005-0000-0000-0000110F0000}"/>
    <cellStyle name="Normal 3 5 3 3 3" xfId="5622" xr:uid="{00000000-0005-0000-0000-0000120F0000}"/>
    <cellStyle name="Normal 3 5 3 4" xfId="2439" xr:uid="{00000000-0005-0000-0000-0000130F0000}"/>
    <cellStyle name="Normal 3 5 3 4 2" xfId="6685" xr:uid="{00000000-0005-0000-0000-0000140F0000}"/>
    <cellStyle name="Normal 3 5 3 5" xfId="4563" xr:uid="{00000000-0005-0000-0000-0000150F0000}"/>
    <cellStyle name="Normal 3 5 4" xfId="583" xr:uid="{00000000-0005-0000-0000-0000160F0000}"/>
    <cellStyle name="Normal 3 5 4 2" xfId="1642" xr:uid="{00000000-0005-0000-0000-0000170F0000}"/>
    <cellStyle name="Normal 3 5 4 2 2" xfId="3764" xr:uid="{00000000-0005-0000-0000-0000180F0000}"/>
    <cellStyle name="Normal 3 5 4 2 2 2" xfId="8010" xr:uid="{00000000-0005-0000-0000-0000190F0000}"/>
    <cellStyle name="Normal 3 5 4 2 3" xfId="5888" xr:uid="{00000000-0005-0000-0000-00001A0F0000}"/>
    <cellStyle name="Normal 3 5 4 3" xfId="2705" xr:uid="{00000000-0005-0000-0000-00001B0F0000}"/>
    <cellStyle name="Normal 3 5 4 3 2" xfId="6951" xr:uid="{00000000-0005-0000-0000-00001C0F0000}"/>
    <cellStyle name="Normal 3 5 4 4" xfId="4829" xr:uid="{00000000-0005-0000-0000-00001D0F0000}"/>
    <cellStyle name="Normal 3 5 5" xfId="1113" xr:uid="{00000000-0005-0000-0000-00001E0F0000}"/>
    <cellStyle name="Normal 3 5 5 2" xfId="3235" xr:uid="{00000000-0005-0000-0000-00001F0F0000}"/>
    <cellStyle name="Normal 3 5 5 2 2" xfId="7481" xr:uid="{00000000-0005-0000-0000-0000200F0000}"/>
    <cellStyle name="Normal 3 5 5 3" xfId="5359" xr:uid="{00000000-0005-0000-0000-0000210F0000}"/>
    <cellStyle name="Normal 3 5 6" xfId="2176" xr:uid="{00000000-0005-0000-0000-0000220F0000}"/>
    <cellStyle name="Normal 3 5 6 2" xfId="6422" xr:uid="{00000000-0005-0000-0000-0000230F0000}"/>
    <cellStyle name="Normal 3 5 7" xfId="4300" xr:uid="{00000000-0005-0000-0000-0000240F0000}"/>
    <cellStyle name="Normal 3 6" xfId="140" xr:uid="{00000000-0005-0000-0000-0000250F0000}"/>
    <cellStyle name="Normal 3 6 2" xfId="403" xr:uid="{00000000-0005-0000-0000-0000260F0000}"/>
    <cellStyle name="Normal 3 6 2 2" xfId="933" xr:uid="{00000000-0005-0000-0000-0000270F0000}"/>
    <cellStyle name="Normal 3 6 2 2 2" xfId="1992" xr:uid="{00000000-0005-0000-0000-0000280F0000}"/>
    <cellStyle name="Normal 3 6 2 2 2 2" xfId="4114" xr:uid="{00000000-0005-0000-0000-0000290F0000}"/>
    <cellStyle name="Normal 3 6 2 2 2 2 2" xfId="8360" xr:uid="{00000000-0005-0000-0000-00002A0F0000}"/>
    <cellStyle name="Normal 3 6 2 2 2 3" xfId="6238" xr:uid="{00000000-0005-0000-0000-00002B0F0000}"/>
    <cellStyle name="Normal 3 6 2 2 3" xfId="3055" xr:uid="{00000000-0005-0000-0000-00002C0F0000}"/>
    <cellStyle name="Normal 3 6 2 2 3 2" xfId="7301" xr:uid="{00000000-0005-0000-0000-00002D0F0000}"/>
    <cellStyle name="Normal 3 6 2 2 4" xfId="5179" xr:uid="{00000000-0005-0000-0000-00002E0F0000}"/>
    <cellStyle name="Normal 3 6 2 3" xfId="1463" xr:uid="{00000000-0005-0000-0000-00002F0F0000}"/>
    <cellStyle name="Normal 3 6 2 3 2" xfId="3585" xr:uid="{00000000-0005-0000-0000-0000300F0000}"/>
    <cellStyle name="Normal 3 6 2 3 2 2" xfId="7831" xr:uid="{00000000-0005-0000-0000-0000310F0000}"/>
    <cellStyle name="Normal 3 6 2 3 3" xfId="5709" xr:uid="{00000000-0005-0000-0000-0000320F0000}"/>
    <cellStyle name="Normal 3 6 2 4" xfId="2526" xr:uid="{00000000-0005-0000-0000-0000330F0000}"/>
    <cellStyle name="Normal 3 6 2 4 2" xfId="6772" xr:uid="{00000000-0005-0000-0000-0000340F0000}"/>
    <cellStyle name="Normal 3 6 2 5" xfId="4650" xr:uid="{00000000-0005-0000-0000-0000350F0000}"/>
    <cellStyle name="Normal 3 6 3" xfId="670" xr:uid="{00000000-0005-0000-0000-0000360F0000}"/>
    <cellStyle name="Normal 3 6 3 2" xfId="1729" xr:uid="{00000000-0005-0000-0000-0000370F0000}"/>
    <cellStyle name="Normal 3 6 3 2 2" xfId="3851" xr:uid="{00000000-0005-0000-0000-0000380F0000}"/>
    <cellStyle name="Normal 3 6 3 2 2 2" xfId="8097" xr:uid="{00000000-0005-0000-0000-0000390F0000}"/>
    <cellStyle name="Normal 3 6 3 2 3" xfId="5975" xr:uid="{00000000-0005-0000-0000-00003A0F0000}"/>
    <cellStyle name="Normal 3 6 3 3" xfId="2792" xr:uid="{00000000-0005-0000-0000-00003B0F0000}"/>
    <cellStyle name="Normal 3 6 3 3 2" xfId="7038" xr:uid="{00000000-0005-0000-0000-00003C0F0000}"/>
    <cellStyle name="Normal 3 6 3 4" xfId="4916" xr:uid="{00000000-0005-0000-0000-00003D0F0000}"/>
    <cellStyle name="Normal 3 6 4" xfId="1200" xr:uid="{00000000-0005-0000-0000-00003E0F0000}"/>
    <cellStyle name="Normal 3 6 4 2" xfId="3322" xr:uid="{00000000-0005-0000-0000-00003F0F0000}"/>
    <cellStyle name="Normal 3 6 4 2 2" xfId="7568" xr:uid="{00000000-0005-0000-0000-0000400F0000}"/>
    <cellStyle name="Normal 3 6 4 3" xfId="5446" xr:uid="{00000000-0005-0000-0000-0000410F0000}"/>
    <cellStyle name="Normal 3 6 5" xfId="2263" xr:uid="{00000000-0005-0000-0000-0000420F0000}"/>
    <cellStyle name="Normal 3 6 5 2" xfId="6509" xr:uid="{00000000-0005-0000-0000-0000430F0000}"/>
    <cellStyle name="Normal 3 6 6" xfId="4387" xr:uid="{00000000-0005-0000-0000-0000440F0000}"/>
    <cellStyle name="Normal 3 7" xfId="272" xr:uid="{00000000-0005-0000-0000-0000450F0000}"/>
    <cellStyle name="Normal 3 7 2" xfId="802" xr:uid="{00000000-0005-0000-0000-0000460F0000}"/>
    <cellStyle name="Normal 3 7 2 2" xfId="1861" xr:uid="{00000000-0005-0000-0000-0000470F0000}"/>
    <cellStyle name="Normal 3 7 2 2 2" xfId="3983" xr:uid="{00000000-0005-0000-0000-0000480F0000}"/>
    <cellStyle name="Normal 3 7 2 2 2 2" xfId="8229" xr:uid="{00000000-0005-0000-0000-0000490F0000}"/>
    <cellStyle name="Normal 3 7 2 2 3" xfId="6107" xr:uid="{00000000-0005-0000-0000-00004A0F0000}"/>
    <cellStyle name="Normal 3 7 2 3" xfId="2924" xr:uid="{00000000-0005-0000-0000-00004B0F0000}"/>
    <cellStyle name="Normal 3 7 2 3 2" xfId="7170" xr:uid="{00000000-0005-0000-0000-00004C0F0000}"/>
    <cellStyle name="Normal 3 7 2 4" xfId="5048" xr:uid="{00000000-0005-0000-0000-00004D0F0000}"/>
    <cellStyle name="Normal 3 7 3" xfId="1332" xr:uid="{00000000-0005-0000-0000-00004E0F0000}"/>
    <cellStyle name="Normal 3 7 3 2" xfId="3454" xr:uid="{00000000-0005-0000-0000-00004F0F0000}"/>
    <cellStyle name="Normal 3 7 3 2 2" xfId="7700" xr:uid="{00000000-0005-0000-0000-0000500F0000}"/>
    <cellStyle name="Normal 3 7 3 3" xfId="5578" xr:uid="{00000000-0005-0000-0000-0000510F0000}"/>
    <cellStyle name="Normal 3 7 4" xfId="2395" xr:uid="{00000000-0005-0000-0000-0000520F0000}"/>
    <cellStyle name="Normal 3 7 4 2" xfId="6641" xr:uid="{00000000-0005-0000-0000-0000530F0000}"/>
    <cellStyle name="Normal 3 7 5" xfId="4519" xr:uid="{00000000-0005-0000-0000-0000540F0000}"/>
    <cellStyle name="Normal 3 8" xfId="537" xr:uid="{00000000-0005-0000-0000-0000550F0000}"/>
    <cellStyle name="Normal 3 8 2" xfId="1597" xr:uid="{00000000-0005-0000-0000-0000560F0000}"/>
    <cellStyle name="Normal 3 8 2 2" xfId="3719" xr:uid="{00000000-0005-0000-0000-0000570F0000}"/>
    <cellStyle name="Normal 3 8 2 2 2" xfId="7965" xr:uid="{00000000-0005-0000-0000-0000580F0000}"/>
    <cellStyle name="Normal 3 8 2 3" xfId="5843" xr:uid="{00000000-0005-0000-0000-0000590F0000}"/>
    <cellStyle name="Normal 3 8 3" xfId="2660" xr:uid="{00000000-0005-0000-0000-00005A0F0000}"/>
    <cellStyle name="Normal 3 8 3 2" xfId="6906" xr:uid="{00000000-0005-0000-0000-00005B0F0000}"/>
    <cellStyle name="Normal 3 8 4" xfId="4784" xr:uid="{00000000-0005-0000-0000-00005C0F0000}"/>
    <cellStyle name="Normal 3 9" xfId="1068" xr:uid="{00000000-0005-0000-0000-00005D0F0000}"/>
    <cellStyle name="Normal 3 9 2" xfId="3190" xr:uid="{00000000-0005-0000-0000-00005E0F0000}"/>
    <cellStyle name="Normal 3 9 2 2" xfId="7436" xr:uid="{00000000-0005-0000-0000-00005F0F0000}"/>
    <cellStyle name="Normal 3 9 3" xfId="5314" xr:uid="{00000000-0005-0000-0000-0000600F0000}"/>
    <cellStyle name="Normal 30" xfId="2124" xr:uid="{00000000-0005-0000-0000-0000610F0000}"/>
    <cellStyle name="Normal 30 2" xfId="4246" xr:uid="{00000000-0005-0000-0000-0000620F0000}"/>
    <cellStyle name="Normal 30 2 2" xfId="8492" xr:uid="{00000000-0005-0000-0000-0000630F0000}"/>
    <cellStyle name="Normal 30 3" xfId="6370" xr:uid="{00000000-0005-0000-0000-0000640F0000}"/>
    <cellStyle name="Normal 31" xfId="1065" xr:uid="{00000000-0005-0000-0000-0000650F0000}"/>
    <cellStyle name="Normal 31 2" xfId="3187" xr:uid="{00000000-0005-0000-0000-0000660F0000}"/>
    <cellStyle name="Normal 31 2 2" xfId="7433" xr:uid="{00000000-0005-0000-0000-0000670F0000}"/>
    <cellStyle name="Normal 31 2 2 2" xfId="8529" xr:uid="{00000000-0005-0000-0000-0000680F0000}"/>
    <cellStyle name="Normal 31 2 2 2 2" xfId="8600" xr:uid="{00000000-0005-0000-0000-0000690F0000}"/>
    <cellStyle name="Normal 31 2 2 3" xfId="8565" xr:uid="{00000000-0005-0000-0000-00006A0F0000}"/>
    <cellStyle name="Normal 31 2 3" xfId="8512" xr:uid="{00000000-0005-0000-0000-00006B0F0000}"/>
    <cellStyle name="Normal 31 2 3 2" xfId="8583" xr:uid="{00000000-0005-0000-0000-00006C0F0000}"/>
    <cellStyle name="Normal 31 2 4" xfId="8548" xr:uid="{00000000-0005-0000-0000-00006D0F0000}"/>
    <cellStyle name="Normal 31 3" xfId="5311" xr:uid="{00000000-0005-0000-0000-00006E0F0000}"/>
    <cellStyle name="Normal 31 3 2" xfId="8521" xr:uid="{00000000-0005-0000-0000-00006F0F0000}"/>
    <cellStyle name="Normal 31 3 2 2" xfId="8592" xr:uid="{00000000-0005-0000-0000-0000700F0000}"/>
    <cellStyle name="Normal 31 3 3" xfId="8557" xr:uid="{00000000-0005-0000-0000-0000710F0000}"/>
    <cellStyle name="Normal 31 4" xfId="8503" xr:uid="{00000000-0005-0000-0000-0000720F0000}"/>
    <cellStyle name="Normal 31 4 2" xfId="8574" xr:uid="{00000000-0005-0000-0000-0000730F0000}"/>
    <cellStyle name="Normal 31 5" xfId="8540" xr:uid="{00000000-0005-0000-0000-0000740F0000}"/>
    <cellStyle name="Normal 32" xfId="2126" xr:uid="{00000000-0005-0000-0000-0000750F0000}"/>
    <cellStyle name="Normal 32 2" xfId="4248" xr:uid="{00000000-0005-0000-0000-0000760F0000}"/>
    <cellStyle name="Normal 32 2 2" xfId="8494" xr:uid="{00000000-0005-0000-0000-0000770F0000}"/>
    <cellStyle name="Normal 32 3" xfId="6372" xr:uid="{00000000-0005-0000-0000-0000780F0000}"/>
    <cellStyle name="Normal 33" xfId="2127" xr:uid="{00000000-0005-0000-0000-0000790F0000}"/>
    <cellStyle name="Normal 33 2" xfId="4249" xr:uid="{00000000-0005-0000-0000-00007A0F0000}"/>
    <cellStyle name="Normal 33 2 2" xfId="8495" xr:uid="{00000000-0005-0000-0000-00007B0F0000}"/>
    <cellStyle name="Normal 33 3" xfId="6373" xr:uid="{00000000-0005-0000-0000-00007C0F0000}"/>
    <cellStyle name="Normal 34" xfId="2129" xr:uid="{00000000-0005-0000-0000-00007D0F0000}"/>
    <cellStyle name="Normal 34 2" xfId="6375" xr:uid="{00000000-0005-0000-0000-00007E0F0000}"/>
    <cellStyle name="Normal 35" xfId="2128" xr:uid="{00000000-0005-0000-0000-00007F0F0000}"/>
    <cellStyle name="Normal 35 2" xfId="6374" xr:uid="{00000000-0005-0000-0000-0000800F0000}"/>
    <cellStyle name="Normal 35 2 2" xfId="8525" xr:uid="{00000000-0005-0000-0000-0000810F0000}"/>
    <cellStyle name="Normal 35 2 2 2" xfId="8596" xr:uid="{00000000-0005-0000-0000-0000820F0000}"/>
    <cellStyle name="Normal 35 2 3" xfId="8561" xr:uid="{00000000-0005-0000-0000-0000830F0000}"/>
    <cellStyle name="Normal 35 3" xfId="8508" xr:uid="{00000000-0005-0000-0000-0000840F0000}"/>
    <cellStyle name="Normal 35 3 2" xfId="8579" xr:uid="{00000000-0005-0000-0000-0000850F0000}"/>
    <cellStyle name="Normal 35 4" xfId="8544" xr:uid="{00000000-0005-0000-0000-0000860F0000}"/>
    <cellStyle name="Normal 36" xfId="4250" xr:uid="{00000000-0005-0000-0000-0000870F0000}"/>
    <cellStyle name="Normal 36 2" xfId="8496" xr:uid="{00000000-0005-0000-0000-0000880F0000}"/>
    <cellStyle name="Normal 36 2 2" xfId="8533" xr:uid="{00000000-0005-0000-0000-0000890F0000}"/>
    <cellStyle name="Normal 36 2 2 2" xfId="8604" xr:uid="{00000000-0005-0000-0000-00008A0F0000}"/>
    <cellStyle name="Normal 36 2 2 2 2" xfId="8606" xr:uid="{00000000-0005-0000-0000-00008B0F0000}"/>
    <cellStyle name="Normal 36 2 3" xfId="8569" xr:uid="{00000000-0005-0000-0000-00008C0F0000}"/>
    <cellStyle name="Normal 36 3" xfId="8516" xr:uid="{00000000-0005-0000-0000-00008D0F0000}"/>
    <cellStyle name="Normal 36 3 2" xfId="8587" xr:uid="{00000000-0005-0000-0000-00008E0F0000}"/>
    <cellStyle name="Normal 36 4" xfId="8552" xr:uid="{00000000-0005-0000-0000-00008F0F0000}"/>
    <cellStyle name="Normal 37" xfId="4253" xr:uid="{00000000-0005-0000-0000-0000900F0000}"/>
    <cellStyle name="Normal 38" xfId="4251" xr:uid="{00000000-0005-0000-0000-0000910F0000}"/>
    <cellStyle name="Normal 38 2" xfId="8517" xr:uid="{00000000-0005-0000-0000-0000920F0000}"/>
    <cellStyle name="Normal 38 2 2" xfId="8588" xr:uid="{00000000-0005-0000-0000-0000930F0000}"/>
    <cellStyle name="Normal 38 3" xfId="8553" xr:uid="{00000000-0005-0000-0000-0000940F0000}"/>
    <cellStyle name="Normal 39" xfId="8498" xr:uid="{00000000-0005-0000-0000-0000950F0000}"/>
    <cellStyle name="Normal 4" xfId="9" xr:uid="{00000000-0005-0000-0000-0000960F0000}"/>
    <cellStyle name="Normal 4 10" xfId="2133" xr:uid="{00000000-0005-0000-0000-0000970F0000}"/>
    <cellStyle name="Normal 4 10 2" xfId="6379" xr:uid="{00000000-0005-0000-0000-0000980F0000}"/>
    <cellStyle name="Normal 4 11" xfId="4257" xr:uid="{00000000-0005-0000-0000-0000990F0000}"/>
    <cellStyle name="Normal 4 2" xfId="21" xr:uid="{00000000-0005-0000-0000-00009A0F0000}"/>
    <cellStyle name="Normal 4 2 10" xfId="4269" xr:uid="{00000000-0005-0000-0000-00009B0F0000}"/>
    <cellStyle name="Normal 4 2 2" xfId="1" xr:uid="{00000000-0005-0000-0000-00009C0F0000}"/>
    <cellStyle name="Normal 4 2 2 10" xfId="42" xr:uid="{00000000-0005-0000-0000-00009D0F0000}"/>
    <cellStyle name="Normal 4 2 2 2" xfId="128" xr:uid="{00000000-0005-0000-0000-00009E0F0000}"/>
    <cellStyle name="Normal 4 2 2 2 2" xfId="259" xr:uid="{00000000-0005-0000-0000-00009F0F0000}"/>
    <cellStyle name="Normal 4 2 2 2 2 2" xfId="522" xr:uid="{00000000-0005-0000-0000-0000A00F0000}"/>
    <cellStyle name="Normal 4 2 2 2 2 2 2" xfId="1052" xr:uid="{00000000-0005-0000-0000-0000A10F0000}"/>
    <cellStyle name="Normal 4 2 2 2 2 2 2 2" xfId="2111" xr:uid="{00000000-0005-0000-0000-0000A20F0000}"/>
    <cellStyle name="Normal 4 2 2 2 2 2 2 2 2" xfId="4233" xr:uid="{00000000-0005-0000-0000-0000A30F0000}"/>
    <cellStyle name="Normal 4 2 2 2 2 2 2 2 2 2" xfId="8479" xr:uid="{00000000-0005-0000-0000-0000A40F0000}"/>
    <cellStyle name="Normal 4 2 2 2 2 2 2 2 3" xfId="6357" xr:uid="{00000000-0005-0000-0000-0000A50F0000}"/>
    <cellStyle name="Normal 4 2 2 2 2 2 2 3" xfId="3174" xr:uid="{00000000-0005-0000-0000-0000A60F0000}"/>
    <cellStyle name="Normal 4 2 2 2 2 2 2 3 2" xfId="7420" xr:uid="{00000000-0005-0000-0000-0000A70F0000}"/>
    <cellStyle name="Normal 4 2 2 2 2 2 2 4" xfId="5298" xr:uid="{00000000-0005-0000-0000-0000A80F0000}"/>
    <cellStyle name="Normal 4 2 2 2 2 2 3" xfId="1582" xr:uid="{00000000-0005-0000-0000-0000A90F0000}"/>
    <cellStyle name="Normal 4 2 2 2 2 2 3 2" xfId="3704" xr:uid="{00000000-0005-0000-0000-0000AA0F0000}"/>
    <cellStyle name="Normal 4 2 2 2 2 2 3 2 2" xfId="7950" xr:uid="{00000000-0005-0000-0000-0000AB0F0000}"/>
    <cellStyle name="Normal 4 2 2 2 2 2 3 3" xfId="5828" xr:uid="{00000000-0005-0000-0000-0000AC0F0000}"/>
    <cellStyle name="Normal 4 2 2 2 2 2 4" xfId="2645" xr:uid="{00000000-0005-0000-0000-0000AD0F0000}"/>
    <cellStyle name="Normal 4 2 2 2 2 2 4 2" xfId="6891" xr:uid="{00000000-0005-0000-0000-0000AE0F0000}"/>
    <cellStyle name="Normal 4 2 2 2 2 2 5" xfId="4769" xr:uid="{00000000-0005-0000-0000-0000AF0F0000}"/>
    <cellStyle name="Normal 4 2 2 2 2 3" xfId="789" xr:uid="{00000000-0005-0000-0000-0000B00F0000}"/>
    <cellStyle name="Normal 4 2 2 2 2 3 2" xfId="1848" xr:uid="{00000000-0005-0000-0000-0000B10F0000}"/>
    <cellStyle name="Normal 4 2 2 2 2 3 2 2" xfId="3970" xr:uid="{00000000-0005-0000-0000-0000B20F0000}"/>
    <cellStyle name="Normal 4 2 2 2 2 3 2 2 2" xfId="8216" xr:uid="{00000000-0005-0000-0000-0000B30F0000}"/>
    <cellStyle name="Normal 4 2 2 2 2 3 2 3" xfId="6094" xr:uid="{00000000-0005-0000-0000-0000B40F0000}"/>
    <cellStyle name="Normal 4 2 2 2 2 3 3" xfId="2911" xr:uid="{00000000-0005-0000-0000-0000B50F0000}"/>
    <cellStyle name="Normal 4 2 2 2 2 3 3 2" xfId="7157" xr:uid="{00000000-0005-0000-0000-0000B60F0000}"/>
    <cellStyle name="Normal 4 2 2 2 2 3 4" xfId="5035" xr:uid="{00000000-0005-0000-0000-0000B70F0000}"/>
    <cellStyle name="Normal 4 2 2 2 2 4" xfId="1319" xr:uid="{00000000-0005-0000-0000-0000B80F0000}"/>
    <cellStyle name="Normal 4 2 2 2 2 4 2" xfId="3441" xr:uid="{00000000-0005-0000-0000-0000B90F0000}"/>
    <cellStyle name="Normal 4 2 2 2 2 4 2 2" xfId="7687" xr:uid="{00000000-0005-0000-0000-0000BA0F0000}"/>
    <cellStyle name="Normal 4 2 2 2 2 4 3" xfId="5565" xr:uid="{00000000-0005-0000-0000-0000BB0F0000}"/>
    <cellStyle name="Normal 4 2 2 2 2 5" xfId="2382" xr:uid="{00000000-0005-0000-0000-0000BC0F0000}"/>
    <cellStyle name="Normal 4 2 2 2 2 5 2" xfId="6628" xr:uid="{00000000-0005-0000-0000-0000BD0F0000}"/>
    <cellStyle name="Normal 4 2 2 2 2 6" xfId="4506" xr:uid="{00000000-0005-0000-0000-0000BE0F0000}"/>
    <cellStyle name="Normal 4 2 2 2 3" xfId="391" xr:uid="{00000000-0005-0000-0000-0000BF0F0000}"/>
    <cellStyle name="Normal 4 2 2 2 3 2" xfId="921" xr:uid="{00000000-0005-0000-0000-0000C00F0000}"/>
    <cellStyle name="Normal 4 2 2 2 3 2 2" xfId="1980" xr:uid="{00000000-0005-0000-0000-0000C10F0000}"/>
    <cellStyle name="Normal 4 2 2 2 3 2 2 2" xfId="4102" xr:uid="{00000000-0005-0000-0000-0000C20F0000}"/>
    <cellStyle name="Normal 4 2 2 2 3 2 2 2 2" xfId="8348" xr:uid="{00000000-0005-0000-0000-0000C30F0000}"/>
    <cellStyle name="Normal 4 2 2 2 3 2 2 3" xfId="6226" xr:uid="{00000000-0005-0000-0000-0000C40F0000}"/>
    <cellStyle name="Normal 4 2 2 2 3 2 3" xfId="3043" xr:uid="{00000000-0005-0000-0000-0000C50F0000}"/>
    <cellStyle name="Normal 4 2 2 2 3 2 3 2" xfId="7289" xr:uid="{00000000-0005-0000-0000-0000C60F0000}"/>
    <cellStyle name="Normal 4 2 2 2 3 2 4" xfId="5167" xr:uid="{00000000-0005-0000-0000-0000C70F0000}"/>
    <cellStyle name="Normal 4 2 2 2 3 3" xfId="1451" xr:uid="{00000000-0005-0000-0000-0000C80F0000}"/>
    <cellStyle name="Normal 4 2 2 2 3 3 2" xfId="3573" xr:uid="{00000000-0005-0000-0000-0000C90F0000}"/>
    <cellStyle name="Normal 4 2 2 2 3 3 2 2" xfId="7819" xr:uid="{00000000-0005-0000-0000-0000CA0F0000}"/>
    <cellStyle name="Normal 4 2 2 2 3 3 3" xfId="5697" xr:uid="{00000000-0005-0000-0000-0000CB0F0000}"/>
    <cellStyle name="Normal 4 2 2 2 3 4" xfId="2514" xr:uid="{00000000-0005-0000-0000-0000CC0F0000}"/>
    <cellStyle name="Normal 4 2 2 2 3 4 2" xfId="6760" xr:uid="{00000000-0005-0000-0000-0000CD0F0000}"/>
    <cellStyle name="Normal 4 2 2 2 3 5" xfId="4638" xr:uid="{00000000-0005-0000-0000-0000CE0F0000}"/>
    <cellStyle name="Normal 4 2 2 2 4" xfId="658" xr:uid="{00000000-0005-0000-0000-0000CF0F0000}"/>
    <cellStyle name="Normal 4 2 2 2 4 2" xfId="1717" xr:uid="{00000000-0005-0000-0000-0000D00F0000}"/>
    <cellStyle name="Normal 4 2 2 2 4 2 2" xfId="3839" xr:uid="{00000000-0005-0000-0000-0000D10F0000}"/>
    <cellStyle name="Normal 4 2 2 2 4 2 2 2" xfId="8085" xr:uid="{00000000-0005-0000-0000-0000D20F0000}"/>
    <cellStyle name="Normal 4 2 2 2 4 2 3" xfId="5963" xr:uid="{00000000-0005-0000-0000-0000D30F0000}"/>
    <cellStyle name="Normal 4 2 2 2 4 3" xfId="2780" xr:uid="{00000000-0005-0000-0000-0000D40F0000}"/>
    <cellStyle name="Normal 4 2 2 2 4 3 2" xfId="7026" xr:uid="{00000000-0005-0000-0000-0000D50F0000}"/>
    <cellStyle name="Normal 4 2 2 2 4 4" xfId="4904" xr:uid="{00000000-0005-0000-0000-0000D60F0000}"/>
    <cellStyle name="Normal 4 2 2 2 5" xfId="1188" xr:uid="{00000000-0005-0000-0000-0000D70F0000}"/>
    <cellStyle name="Normal 4 2 2 2 5 2" xfId="3310" xr:uid="{00000000-0005-0000-0000-0000D80F0000}"/>
    <cellStyle name="Normal 4 2 2 2 5 2 2" xfId="7556" xr:uid="{00000000-0005-0000-0000-0000D90F0000}"/>
    <cellStyle name="Normal 4 2 2 2 5 3" xfId="5434" xr:uid="{00000000-0005-0000-0000-0000DA0F0000}"/>
    <cellStyle name="Normal 4 2 2 2 6" xfId="2251" xr:uid="{00000000-0005-0000-0000-0000DB0F0000}"/>
    <cellStyle name="Normal 4 2 2 2 6 2" xfId="6497" xr:uid="{00000000-0005-0000-0000-0000DC0F0000}"/>
    <cellStyle name="Normal 4 2 2 2 7" xfId="4375" xr:uid="{00000000-0005-0000-0000-0000DD0F0000}"/>
    <cellStyle name="Normal 4 2 2 3" xfId="85" xr:uid="{00000000-0005-0000-0000-0000DE0F0000}"/>
    <cellStyle name="Normal 4 2 2 3 2" xfId="217" xr:uid="{00000000-0005-0000-0000-0000DF0F0000}"/>
    <cellStyle name="Normal 4 2 2 3 2 2" xfId="480" xr:uid="{00000000-0005-0000-0000-0000E00F0000}"/>
    <cellStyle name="Normal 4 2 2 3 2 2 2" xfId="1010" xr:uid="{00000000-0005-0000-0000-0000E10F0000}"/>
    <cellStyle name="Normal 4 2 2 3 2 2 2 2" xfId="2069" xr:uid="{00000000-0005-0000-0000-0000E20F0000}"/>
    <cellStyle name="Normal 4 2 2 3 2 2 2 2 2" xfId="4191" xr:uid="{00000000-0005-0000-0000-0000E30F0000}"/>
    <cellStyle name="Normal 4 2 2 3 2 2 2 2 2 2" xfId="8437" xr:uid="{00000000-0005-0000-0000-0000E40F0000}"/>
    <cellStyle name="Normal 4 2 2 3 2 2 2 2 3" xfId="6315" xr:uid="{00000000-0005-0000-0000-0000E50F0000}"/>
    <cellStyle name="Normal 4 2 2 3 2 2 2 3" xfId="3132" xr:uid="{00000000-0005-0000-0000-0000E60F0000}"/>
    <cellStyle name="Normal 4 2 2 3 2 2 2 3 2" xfId="7378" xr:uid="{00000000-0005-0000-0000-0000E70F0000}"/>
    <cellStyle name="Normal 4 2 2 3 2 2 2 4" xfId="5256" xr:uid="{00000000-0005-0000-0000-0000E80F0000}"/>
    <cellStyle name="Normal 4 2 2 3 2 2 3" xfId="1540" xr:uid="{00000000-0005-0000-0000-0000E90F0000}"/>
    <cellStyle name="Normal 4 2 2 3 2 2 3 2" xfId="3662" xr:uid="{00000000-0005-0000-0000-0000EA0F0000}"/>
    <cellStyle name="Normal 4 2 2 3 2 2 3 2 2" xfId="7908" xr:uid="{00000000-0005-0000-0000-0000EB0F0000}"/>
    <cellStyle name="Normal 4 2 2 3 2 2 3 3" xfId="5786" xr:uid="{00000000-0005-0000-0000-0000EC0F0000}"/>
    <cellStyle name="Normal 4 2 2 3 2 2 4" xfId="2603" xr:uid="{00000000-0005-0000-0000-0000ED0F0000}"/>
    <cellStyle name="Normal 4 2 2 3 2 2 4 2" xfId="6849" xr:uid="{00000000-0005-0000-0000-0000EE0F0000}"/>
    <cellStyle name="Normal 4 2 2 3 2 2 5" xfId="4727" xr:uid="{00000000-0005-0000-0000-0000EF0F0000}"/>
    <cellStyle name="Normal 4 2 2 3 2 3" xfId="747" xr:uid="{00000000-0005-0000-0000-0000F00F0000}"/>
    <cellStyle name="Normal 4 2 2 3 2 3 2" xfId="1806" xr:uid="{00000000-0005-0000-0000-0000F10F0000}"/>
    <cellStyle name="Normal 4 2 2 3 2 3 2 2" xfId="3928" xr:uid="{00000000-0005-0000-0000-0000F20F0000}"/>
    <cellStyle name="Normal 4 2 2 3 2 3 2 2 2" xfId="8174" xr:uid="{00000000-0005-0000-0000-0000F30F0000}"/>
    <cellStyle name="Normal 4 2 2 3 2 3 2 3" xfId="6052" xr:uid="{00000000-0005-0000-0000-0000F40F0000}"/>
    <cellStyle name="Normal 4 2 2 3 2 3 3" xfId="2869" xr:uid="{00000000-0005-0000-0000-0000F50F0000}"/>
    <cellStyle name="Normal 4 2 2 3 2 3 3 2" xfId="7115" xr:uid="{00000000-0005-0000-0000-0000F60F0000}"/>
    <cellStyle name="Normal 4 2 2 3 2 3 4" xfId="4993" xr:uid="{00000000-0005-0000-0000-0000F70F0000}"/>
    <cellStyle name="Normal 4 2 2 3 2 4" xfId="1277" xr:uid="{00000000-0005-0000-0000-0000F80F0000}"/>
    <cellStyle name="Normal 4 2 2 3 2 4 2" xfId="3399" xr:uid="{00000000-0005-0000-0000-0000F90F0000}"/>
    <cellStyle name="Normal 4 2 2 3 2 4 2 2" xfId="7645" xr:uid="{00000000-0005-0000-0000-0000FA0F0000}"/>
    <cellStyle name="Normal 4 2 2 3 2 4 3" xfId="5523" xr:uid="{00000000-0005-0000-0000-0000FB0F0000}"/>
    <cellStyle name="Normal 4 2 2 3 2 5" xfId="2340" xr:uid="{00000000-0005-0000-0000-0000FC0F0000}"/>
    <cellStyle name="Normal 4 2 2 3 2 5 2" xfId="6586" xr:uid="{00000000-0005-0000-0000-0000FD0F0000}"/>
    <cellStyle name="Normal 4 2 2 3 2 6" xfId="4464" xr:uid="{00000000-0005-0000-0000-0000FE0F0000}"/>
    <cellStyle name="Normal 4 2 2 3 3" xfId="349" xr:uid="{00000000-0005-0000-0000-0000FF0F0000}"/>
    <cellStyle name="Normal 4 2 2 3 3 2" xfId="879" xr:uid="{00000000-0005-0000-0000-000000100000}"/>
    <cellStyle name="Normal 4 2 2 3 3 2 2" xfId="1938" xr:uid="{00000000-0005-0000-0000-000001100000}"/>
    <cellStyle name="Normal 4 2 2 3 3 2 2 2" xfId="4060" xr:uid="{00000000-0005-0000-0000-000002100000}"/>
    <cellStyle name="Normal 4 2 2 3 3 2 2 2 2" xfId="8306" xr:uid="{00000000-0005-0000-0000-000003100000}"/>
    <cellStyle name="Normal 4 2 2 3 3 2 2 3" xfId="6184" xr:uid="{00000000-0005-0000-0000-000004100000}"/>
    <cellStyle name="Normal 4 2 2 3 3 2 3" xfId="3001" xr:uid="{00000000-0005-0000-0000-000005100000}"/>
    <cellStyle name="Normal 4 2 2 3 3 2 3 2" xfId="7247" xr:uid="{00000000-0005-0000-0000-000006100000}"/>
    <cellStyle name="Normal 4 2 2 3 3 2 4" xfId="5125" xr:uid="{00000000-0005-0000-0000-000007100000}"/>
    <cellStyle name="Normal 4 2 2 3 3 3" xfId="1409" xr:uid="{00000000-0005-0000-0000-000008100000}"/>
    <cellStyle name="Normal 4 2 2 3 3 3 2" xfId="3531" xr:uid="{00000000-0005-0000-0000-000009100000}"/>
    <cellStyle name="Normal 4 2 2 3 3 3 2 2" xfId="7777" xr:uid="{00000000-0005-0000-0000-00000A100000}"/>
    <cellStyle name="Normal 4 2 2 3 3 3 3" xfId="5655" xr:uid="{00000000-0005-0000-0000-00000B100000}"/>
    <cellStyle name="Normal 4 2 2 3 3 4" xfId="2472" xr:uid="{00000000-0005-0000-0000-00000C100000}"/>
    <cellStyle name="Normal 4 2 2 3 3 4 2" xfId="6718" xr:uid="{00000000-0005-0000-0000-00000D100000}"/>
    <cellStyle name="Normal 4 2 2 3 3 5" xfId="4596" xr:uid="{00000000-0005-0000-0000-00000E100000}"/>
    <cellStyle name="Normal 4 2 2 3 4" xfId="616" xr:uid="{00000000-0005-0000-0000-00000F100000}"/>
    <cellStyle name="Normal 4 2 2 3 4 2" xfId="1675" xr:uid="{00000000-0005-0000-0000-000010100000}"/>
    <cellStyle name="Normal 4 2 2 3 4 2 2" xfId="3797" xr:uid="{00000000-0005-0000-0000-000011100000}"/>
    <cellStyle name="Normal 4 2 2 3 4 2 2 2" xfId="8043" xr:uid="{00000000-0005-0000-0000-000012100000}"/>
    <cellStyle name="Normal 4 2 2 3 4 2 3" xfId="5921" xr:uid="{00000000-0005-0000-0000-000013100000}"/>
    <cellStyle name="Normal 4 2 2 3 4 3" xfId="2738" xr:uid="{00000000-0005-0000-0000-000014100000}"/>
    <cellStyle name="Normal 4 2 2 3 4 3 2" xfId="6984" xr:uid="{00000000-0005-0000-0000-000015100000}"/>
    <cellStyle name="Normal 4 2 2 3 4 4" xfId="4862" xr:uid="{00000000-0005-0000-0000-000016100000}"/>
    <cellStyle name="Normal 4 2 2 3 5" xfId="1146" xr:uid="{00000000-0005-0000-0000-000017100000}"/>
    <cellStyle name="Normal 4 2 2 3 5 2" xfId="3268" xr:uid="{00000000-0005-0000-0000-000018100000}"/>
    <cellStyle name="Normal 4 2 2 3 5 2 2" xfId="7514" xr:uid="{00000000-0005-0000-0000-000019100000}"/>
    <cellStyle name="Normal 4 2 2 3 5 3" xfId="5392" xr:uid="{00000000-0005-0000-0000-00001A100000}"/>
    <cellStyle name="Normal 4 2 2 3 6" xfId="2209" xr:uid="{00000000-0005-0000-0000-00001B100000}"/>
    <cellStyle name="Normal 4 2 2 3 6 2" xfId="6455" xr:uid="{00000000-0005-0000-0000-00001C100000}"/>
    <cellStyle name="Normal 4 2 2 3 7" xfId="4333" xr:uid="{00000000-0005-0000-0000-00001D100000}"/>
    <cellStyle name="Normal 4 2 2 4" xfId="174" xr:uid="{00000000-0005-0000-0000-00001E100000}"/>
    <cellStyle name="Normal 4 2 2 4 2" xfId="437" xr:uid="{00000000-0005-0000-0000-00001F100000}"/>
    <cellStyle name="Normal 4 2 2 4 2 2" xfId="967" xr:uid="{00000000-0005-0000-0000-000020100000}"/>
    <cellStyle name="Normal 4 2 2 4 2 2 2" xfId="2026" xr:uid="{00000000-0005-0000-0000-000021100000}"/>
    <cellStyle name="Normal 4 2 2 4 2 2 2 2" xfId="4148" xr:uid="{00000000-0005-0000-0000-000022100000}"/>
    <cellStyle name="Normal 4 2 2 4 2 2 2 2 2" xfId="8394" xr:uid="{00000000-0005-0000-0000-000023100000}"/>
    <cellStyle name="Normal 4 2 2 4 2 2 2 3" xfId="6272" xr:uid="{00000000-0005-0000-0000-000024100000}"/>
    <cellStyle name="Normal 4 2 2 4 2 2 3" xfId="3089" xr:uid="{00000000-0005-0000-0000-000025100000}"/>
    <cellStyle name="Normal 4 2 2 4 2 2 3 2" xfId="7335" xr:uid="{00000000-0005-0000-0000-000026100000}"/>
    <cellStyle name="Normal 4 2 2 4 2 2 4" xfId="5213" xr:uid="{00000000-0005-0000-0000-000027100000}"/>
    <cellStyle name="Normal 4 2 2 4 2 3" xfId="1497" xr:uid="{00000000-0005-0000-0000-000028100000}"/>
    <cellStyle name="Normal 4 2 2 4 2 3 2" xfId="3619" xr:uid="{00000000-0005-0000-0000-000029100000}"/>
    <cellStyle name="Normal 4 2 2 4 2 3 2 2" xfId="7865" xr:uid="{00000000-0005-0000-0000-00002A100000}"/>
    <cellStyle name="Normal 4 2 2 4 2 3 3" xfId="5743" xr:uid="{00000000-0005-0000-0000-00002B100000}"/>
    <cellStyle name="Normal 4 2 2 4 2 4" xfId="2560" xr:uid="{00000000-0005-0000-0000-00002C100000}"/>
    <cellStyle name="Normal 4 2 2 4 2 4 2" xfId="6806" xr:uid="{00000000-0005-0000-0000-00002D100000}"/>
    <cellStyle name="Normal 4 2 2 4 2 5" xfId="4684" xr:uid="{00000000-0005-0000-0000-00002E100000}"/>
    <cellStyle name="Normal 4 2 2 4 3" xfId="704" xr:uid="{00000000-0005-0000-0000-00002F100000}"/>
    <cellStyle name="Normal 4 2 2 4 3 2" xfId="1763" xr:uid="{00000000-0005-0000-0000-000030100000}"/>
    <cellStyle name="Normal 4 2 2 4 3 2 2" xfId="3885" xr:uid="{00000000-0005-0000-0000-000031100000}"/>
    <cellStyle name="Normal 4 2 2 4 3 2 2 2" xfId="8131" xr:uid="{00000000-0005-0000-0000-000032100000}"/>
    <cellStyle name="Normal 4 2 2 4 3 2 3" xfId="6009" xr:uid="{00000000-0005-0000-0000-000033100000}"/>
    <cellStyle name="Normal 4 2 2 4 3 3" xfId="2826" xr:uid="{00000000-0005-0000-0000-000034100000}"/>
    <cellStyle name="Normal 4 2 2 4 3 3 2" xfId="7072" xr:uid="{00000000-0005-0000-0000-000035100000}"/>
    <cellStyle name="Normal 4 2 2 4 3 4" xfId="4950" xr:uid="{00000000-0005-0000-0000-000036100000}"/>
    <cellStyle name="Normal 4 2 2 4 4" xfId="1234" xr:uid="{00000000-0005-0000-0000-000037100000}"/>
    <cellStyle name="Normal 4 2 2 4 4 2" xfId="3356" xr:uid="{00000000-0005-0000-0000-000038100000}"/>
    <cellStyle name="Normal 4 2 2 4 4 2 2" xfId="7602" xr:uid="{00000000-0005-0000-0000-000039100000}"/>
    <cellStyle name="Normal 4 2 2 4 4 3" xfId="5480" xr:uid="{00000000-0005-0000-0000-00003A100000}"/>
    <cellStyle name="Normal 4 2 2 4 5" xfId="2297" xr:uid="{00000000-0005-0000-0000-00003B100000}"/>
    <cellStyle name="Normal 4 2 2 4 5 2" xfId="6543" xr:uid="{00000000-0005-0000-0000-00003C100000}"/>
    <cellStyle name="Normal 4 2 2 4 6" xfId="4421" xr:uid="{00000000-0005-0000-0000-00003D100000}"/>
    <cellStyle name="Normal 4 2 2 5" xfId="306" xr:uid="{00000000-0005-0000-0000-00003E100000}"/>
    <cellStyle name="Normal 4 2 2 5 2" xfId="836" xr:uid="{00000000-0005-0000-0000-00003F100000}"/>
    <cellStyle name="Normal 4 2 2 5 2 2" xfId="1895" xr:uid="{00000000-0005-0000-0000-000040100000}"/>
    <cellStyle name="Normal 4 2 2 5 2 2 2" xfId="4017" xr:uid="{00000000-0005-0000-0000-000041100000}"/>
    <cellStyle name="Normal 4 2 2 5 2 2 2 2" xfId="8263" xr:uid="{00000000-0005-0000-0000-000042100000}"/>
    <cellStyle name="Normal 4 2 2 5 2 2 3" xfId="6141" xr:uid="{00000000-0005-0000-0000-000043100000}"/>
    <cellStyle name="Normal 4 2 2 5 2 3" xfId="2958" xr:uid="{00000000-0005-0000-0000-000044100000}"/>
    <cellStyle name="Normal 4 2 2 5 2 3 2" xfId="7204" xr:uid="{00000000-0005-0000-0000-000045100000}"/>
    <cellStyle name="Normal 4 2 2 5 2 4" xfId="5082" xr:uid="{00000000-0005-0000-0000-000046100000}"/>
    <cellStyle name="Normal 4 2 2 5 3" xfId="1366" xr:uid="{00000000-0005-0000-0000-000047100000}"/>
    <cellStyle name="Normal 4 2 2 5 3 2" xfId="3488" xr:uid="{00000000-0005-0000-0000-000048100000}"/>
    <cellStyle name="Normal 4 2 2 5 3 2 2" xfId="7734" xr:uid="{00000000-0005-0000-0000-000049100000}"/>
    <cellStyle name="Normal 4 2 2 5 3 3" xfId="5612" xr:uid="{00000000-0005-0000-0000-00004A100000}"/>
    <cellStyle name="Normal 4 2 2 5 4" xfId="2429" xr:uid="{00000000-0005-0000-0000-00004B100000}"/>
    <cellStyle name="Normal 4 2 2 5 4 2" xfId="6675" xr:uid="{00000000-0005-0000-0000-00004C100000}"/>
    <cellStyle name="Normal 4 2 2 5 5" xfId="4553" xr:uid="{00000000-0005-0000-0000-00004D100000}"/>
    <cellStyle name="Normal 4 2 2 6" xfId="573" xr:uid="{00000000-0005-0000-0000-00004E100000}"/>
    <cellStyle name="Normal 4 2 2 6 2" xfId="1632" xr:uid="{00000000-0005-0000-0000-00004F100000}"/>
    <cellStyle name="Normal 4 2 2 6 2 2" xfId="3754" xr:uid="{00000000-0005-0000-0000-000050100000}"/>
    <cellStyle name="Normal 4 2 2 6 2 2 2" xfId="8000" xr:uid="{00000000-0005-0000-0000-000051100000}"/>
    <cellStyle name="Normal 4 2 2 6 2 3" xfId="5878" xr:uid="{00000000-0005-0000-0000-000052100000}"/>
    <cellStyle name="Normal 4 2 2 6 3" xfId="2695" xr:uid="{00000000-0005-0000-0000-000053100000}"/>
    <cellStyle name="Normal 4 2 2 6 3 2" xfId="6941" xr:uid="{00000000-0005-0000-0000-000054100000}"/>
    <cellStyle name="Normal 4 2 2 6 4" xfId="4819" xr:uid="{00000000-0005-0000-0000-000055100000}"/>
    <cellStyle name="Normal 4 2 2 7" xfId="1103" xr:uid="{00000000-0005-0000-0000-000056100000}"/>
    <cellStyle name="Normal 4 2 2 7 2" xfId="3225" xr:uid="{00000000-0005-0000-0000-000057100000}"/>
    <cellStyle name="Normal 4 2 2 7 2 2" xfId="7471" xr:uid="{00000000-0005-0000-0000-000058100000}"/>
    <cellStyle name="Normal 4 2 2 7 3" xfId="5349" xr:uid="{00000000-0005-0000-0000-000059100000}"/>
    <cellStyle name="Normal 4 2 2 8" xfId="2166" xr:uid="{00000000-0005-0000-0000-00005A100000}"/>
    <cellStyle name="Normal 4 2 2 8 2" xfId="6412" xr:uid="{00000000-0005-0000-0000-00005B100000}"/>
    <cellStyle name="Normal 4 2 2 9" xfId="4290" xr:uid="{00000000-0005-0000-0000-00005C100000}"/>
    <cellStyle name="Normal 4 2 3" xfId="107" xr:uid="{00000000-0005-0000-0000-00005D100000}"/>
    <cellStyle name="Normal 4 2 3 2" xfId="238" xr:uid="{00000000-0005-0000-0000-00005E100000}"/>
    <cellStyle name="Normal 4 2 3 2 2" xfId="501" xr:uid="{00000000-0005-0000-0000-00005F100000}"/>
    <cellStyle name="Normal 4 2 3 2 2 2" xfId="1031" xr:uid="{00000000-0005-0000-0000-000060100000}"/>
    <cellStyle name="Normal 4 2 3 2 2 2 2" xfId="2090" xr:uid="{00000000-0005-0000-0000-000061100000}"/>
    <cellStyle name="Normal 4 2 3 2 2 2 2 2" xfId="4212" xr:uid="{00000000-0005-0000-0000-000062100000}"/>
    <cellStyle name="Normal 4 2 3 2 2 2 2 2 2" xfId="8458" xr:uid="{00000000-0005-0000-0000-000063100000}"/>
    <cellStyle name="Normal 4 2 3 2 2 2 2 3" xfId="6336" xr:uid="{00000000-0005-0000-0000-000064100000}"/>
    <cellStyle name="Normal 4 2 3 2 2 2 3" xfId="3153" xr:uid="{00000000-0005-0000-0000-000065100000}"/>
    <cellStyle name="Normal 4 2 3 2 2 2 3 2" xfId="7399" xr:uid="{00000000-0005-0000-0000-000066100000}"/>
    <cellStyle name="Normal 4 2 3 2 2 2 4" xfId="5277" xr:uid="{00000000-0005-0000-0000-000067100000}"/>
    <cellStyle name="Normal 4 2 3 2 2 3" xfId="1561" xr:uid="{00000000-0005-0000-0000-000068100000}"/>
    <cellStyle name="Normal 4 2 3 2 2 3 2" xfId="3683" xr:uid="{00000000-0005-0000-0000-000069100000}"/>
    <cellStyle name="Normal 4 2 3 2 2 3 2 2" xfId="7929" xr:uid="{00000000-0005-0000-0000-00006A100000}"/>
    <cellStyle name="Normal 4 2 3 2 2 3 3" xfId="5807" xr:uid="{00000000-0005-0000-0000-00006B100000}"/>
    <cellStyle name="Normal 4 2 3 2 2 4" xfId="2624" xr:uid="{00000000-0005-0000-0000-00006C100000}"/>
    <cellStyle name="Normal 4 2 3 2 2 4 2" xfId="6870" xr:uid="{00000000-0005-0000-0000-00006D100000}"/>
    <cellStyle name="Normal 4 2 3 2 2 5" xfId="4748" xr:uid="{00000000-0005-0000-0000-00006E100000}"/>
    <cellStyle name="Normal 4 2 3 2 3" xfId="768" xr:uid="{00000000-0005-0000-0000-00006F100000}"/>
    <cellStyle name="Normal 4 2 3 2 3 2" xfId="1827" xr:uid="{00000000-0005-0000-0000-000070100000}"/>
    <cellStyle name="Normal 4 2 3 2 3 2 2" xfId="3949" xr:uid="{00000000-0005-0000-0000-000071100000}"/>
    <cellStyle name="Normal 4 2 3 2 3 2 2 2" xfId="8195" xr:uid="{00000000-0005-0000-0000-000072100000}"/>
    <cellStyle name="Normal 4 2 3 2 3 2 3" xfId="6073" xr:uid="{00000000-0005-0000-0000-000073100000}"/>
    <cellStyle name="Normal 4 2 3 2 3 3" xfId="2890" xr:uid="{00000000-0005-0000-0000-000074100000}"/>
    <cellStyle name="Normal 4 2 3 2 3 3 2" xfId="7136" xr:uid="{00000000-0005-0000-0000-000075100000}"/>
    <cellStyle name="Normal 4 2 3 2 3 4" xfId="5014" xr:uid="{00000000-0005-0000-0000-000076100000}"/>
    <cellStyle name="Normal 4 2 3 2 4" xfId="1298" xr:uid="{00000000-0005-0000-0000-000077100000}"/>
    <cellStyle name="Normal 4 2 3 2 4 2" xfId="3420" xr:uid="{00000000-0005-0000-0000-000078100000}"/>
    <cellStyle name="Normal 4 2 3 2 4 2 2" xfId="7666" xr:uid="{00000000-0005-0000-0000-000079100000}"/>
    <cellStyle name="Normal 4 2 3 2 4 3" xfId="5544" xr:uid="{00000000-0005-0000-0000-00007A100000}"/>
    <cellStyle name="Normal 4 2 3 2 5" xfId="2361" xr:uid="{00000000-0005-0000-0000-00007B100000}"/>
    <cellStyle name="Normal 4 2 3 2 5 2" xfId="6607" xr:uid="{00000000-0005-0000-0000-00007C100000}"/>
    <cellStyle name="Normal 4 2 3 2 6" xfId="4485" xr:uid="{00000000-0005-0000-0000-00007D100000}"/>
    <cellStyle name="Normal 4 2 3 3" xfId="370" xr:uid="{00000000-0005-0000-0000-00007E100000}"/>
    <cellStyle name="Normal 4 2 3 3 2" xfId="900" xr:uid="{00000000-0005-0000-0000-00007F100000}"/>
    <cellStyle name="Normal 4 2 3 3 2 2" xfId="1959" xr:uid="{00000000-0005-0000-0000-000080100000}"/>
    <cellStyle name="Normal 4 2 3 3 2 2 2" xfId="4081" xr:uid="{00000000-0005-0000-0000-000081100000}"/>
    <cellStyle name="Normal 4 2 3 3 2 2 2 2" xfId="8327" xr:uid="{00000000-0005-0000-0000-000082100000}"/>
    <cellStyle name="Normal 4 2 3 3 2 2 3" xfId="6205" xr:uid="{00000000-0005-0000-0000-000083100000}"/>
    <cellStyle name="Normal 4 2 3 3 2 3" xfId="3022" xr:uid="{00000000-0005-0000-0000-000084100000}"/>
    <cellStyle name="Normal 4 2 3 3 2 3 2" xfId="7268" xr:uid="{00000000-0005-0000-0000-000085100000}"/>
    <cellStyle name="Normal 4 2 3 3 2 4" xfId="5146" xr:uid="{00000000-0005-0000-0000-000086100000}"/>
    <cellStyle name="Normal 4 2 3 3 3" xfId="1430" xr:uid="{00000000-0005-0000-0000-000087100000}"/>
    <cellStyle name="Normal 4 2 3 3 3 2" xfId="3552" xr:uid="{00000000-0005-0000-0000-000088100000}"/>
    <cellStyle name="Normal 4 2 3 3 3 2 2" xfId="7798" xr:uid="{00000000-0005-0000-0000-000089100000}"/>
    <cellStyle name="Normal 4 2 3 3 3 3" xfId="5676" xr:uid="{00000000-0005-0000-0000-00008A100000}"/>
    <cellStyle name="Normal 4 2 3 3 4" xfId="2493" xr:uid="{00000000-0005-0000-0000-00008B100000}"/>
    <cellStyle name="Normal 4 2 3 3 4 2" xfId="6739" xr:uid="{00000000-0005-0000-0000-00008C100000}"/>
    <cellStyle name="Normal 4 2 3 3 5" xfId="4617" xr:uid="{00000000-0005-0000-0000-00008D100000}"/>
    <cellStyle name="Normal 4 2 3 4" xfId="637" xr:uid="{00000000-0005-0000-0000-00008E100000}"/>
    <cellStyle name="Normal 4 2 3 4 2" xfId="1696" xr:uid="{00000000-0005-0000-0000-00008F100000}"/>
    <cellStyle name="Normal 4 2 3 4 2 2" xfId="3818" xr:uid="{00000000-0005-0000-0000-000090100000}"/>
    <cellStyle name="Normal 4 2 3 4 2 2 2" xfId="8064" xr:uid="{00000000-0005-0000-0000-000091100000}"/>
    <cellStyle name="Normal 4 2 3 4 2 3" xfId="5942" xr:uid="{00000000-0005-0000-0000-000092100000}"/>
    <cellStyle name="Normal 4 2 3 4 3" xfId="2759" xr:uid="{00000000-0005-0000-0000-000093100000}"/>
    <cellStyle name="Normal 4 2 3 4 3 2" xfId="7005" xr:uid="{00000000-0005-0000-0000-000094100000}"/>
    <cellStyle name="Normal 4 2 3 4 4" xfId="4883" xr:uid="{00000000-0005-0000-0000-000095100000}"/>
    <cellStyle name="Normal 4 2 3 5" xfId="1167" xr:uid="{00000000-0005-0000-0000-000096100000}"/>
    <cellStyle name="Normal 4 2 3 5 2" xfId="3289" xr:uid="{00000000-0005-0000-0000-000097100000}"/>
    <cellStyle name="Normal 4 2 3 5 2 2" xfId="7535" xr:uid="{00000000-0005-0000-0000-000098100000}"/>
    <cellStyle name="Normal 4 2 3 5 3" xfId="5413" xr:uid="{00000000-0005-0000-0000-000099100000}"/>
    <cellStyle name="Normal 4 2 3 6" xfId="2230" xr:uid="{00000000-0005-0000-0000-00009A100000}"/>
    <cellStyle name="Normal 4 2 3 6 2" xfId="6476" xr:uid="{00000000-0005-0000-0000-00009B100000}"/>
    <cellStyle name="Normal 4 2 3 7" xfId="4354" xr:uid="{00000000-0005-0000-0000-00009C100000}"/>
    <cellStyle name="Normal 4 2 4" xfId="64" xr:uid="{00000000-0005-0000-0000-00009D100000}"/>
    <cellStyle name="Normal 4 2 4 2" xfId="196" xr:uid="{00000000-0005-0000-0000-00009E100000}"/>
    <cellStyle name="Normal 4 2 4 2 2" xfId="459" xr:uid="{00000000-0005-0000-0000-00009F100000}"/>
    <cellStyle name="Normal 4 2 4 2 2 2" xfId="989" xr:uid="{00000000-0005-0000-0000-0000A0100000}"/>
    <cellStyle name="Normal 4 2 4 2 2 2 2" xfId="2048" xr:uid="{00000000-0005-0000-0000-0000A1100000}"/>
    <cellStyle name="Normal 4 2 4 2 2 2 2 2" xfId="4170" xr:uid="{00000000-0005-0000-0000-0000A2100000}"/>
    <cellStyle name="Normal 4 2 4 2 2 2 2 2 2" xfId="8416" xr:uid="{00000000-0005-0000-0000-0000A3100000}"/>
    <cellStyle name="Normal 4 2 4 2 2 2 2 3" xfId="6294" xr:uid="{00000000-0005-0000-0000-0000A4100000}"/>
    <cellStyle name="Normal 4 2 4 2 2 2 3" xfId="3111" xr:uid="{00000000-0005-0000-0000-0000A5100000}"/>
    <cellStyle name="Normal 4 2 4 2 2 2 3 2" xfId="7357" xr:uid="{00000000-0005-0000-0000-0000A6100000}"/>
    <cellStyle name="Normal 4 2 4 2 2 2 4" xfId="5235" xr:uid="{00000000-0005-0000-0000-0000A7100000}"/>
    <cellStyle name="Normal 4 2 4 2 2 3" xfId="1519" xr:uid="{00000000-0005-0000-0000-0000A8100000}"/>
    <cellStyle name="Normal 4 2 4 2 2 3 2" xfId="3641" xr:uid="{00000000-0005-0000-0000-0000A9100000}"/>
    <cellStyle name="Normal 4 2 4 2 2 3 2 2" xfId="7887" xr:uid="{00000000-0005-0000-0000-0000AA100000}"/>
    <cellStyle name="Normal 4 2 4 2 2 3 3" xfId="5765" xr:uid="{00000000-0005-0000-0000-0000AB100000}"/>
    <cellStyle name="Normal 4 2 4 2 2 4" xfId="2582" xr:uid="{00000000-0005-0000-0000-0000AC100000}"/>
    <cellStyle name="Normal 4 2 4 2 2 4 2" xfId="6828" xr:uid="{00000000-0005-0000-0000-0000AD100000}"/>
    <cellStyle name="Normal 4 2 4 2 2 5" xfId="4706" xr:uid="{00000000-0005-0000-0000-0000AE100000}"/>
    <cellStyle name="Normal 4 2 4 2 3" xfId="726" xr:uid="{00000000-0005-0000-0000-0000AF100000}"/>
    <cellStyle name="Normal 4 2 4 2 3 2" xfId="1785" xr:uid="{00000000-0005-0000-0000-0000B0100000}"/>
    <cellStyle name="Normal 4 2 4 2 3 2 2" xfId="3907" xr:uid="{00000000-0005-0000-0000-0000B1100000}"/>
    <cellStyle name="Normal 4 2 4 2 3 2 2 2" xfId="8153" xr:uid="{00000000-0005-0000-0000-0000B2100000}"/>
    <cellStyle name="Normal 4 2 4 2 3 2 3" xfId="6031" xr:uid="{00000000-0005-0000-0000-0000B3100000}"/>
    <cellStyle name="Normal 4 2 4 2 3 3" xfId="2848" xr:uid="{00000000-0005-0000-0000-0000B4100000}"/>
    <cellStyle name="Normal 4 2 4 2 3 3 2" xfId="7094" xr:uid="{00000000-0005-0000-0000-0000B5100000}"/>
    <cellStyle name="Normal 4 2 4 2 3 4" xfId="4972" xr:uid="{00000000-0005-0000-0000-0000B6100000}"/>
    <cellStyle name="Normal 4 2 4 2 4" xfId="1256" xr:uid="{00000000-0005-0000-0000-0000B7100000}"/>
    <cellStyle name="Normal 4 2 4 2 4 2" xfId="3378" xr:uid="{00000000-0005-0000-0000-0000B8100000}"/>
    <cellStyle name="Normal 4 2 4 2 4 2 2" xfId="7624" xr:uid="{00000000-0005-0000-0000-0000B9100000}"/>
    <cellStyle name="Normal 4 2 4 2 4 3" xfId="5502" xr:uid="{00000000-0005-0000-0000-0000BA100000}"/>
    <cellStyle name="Normal 4 2 4 2 5" xfId="2319" xr:uid="{00000000-0005-0000-0000-0000BB100000}"/>
    <cellStyle name="Normal 4 2 4 2 5 2" xfId="6565" xr:uid="{00000000-0005-0000-0000-0000BC100000}"/>
    <cellStyle name="Normal 4 2 4 2 6" xfId="4443" xr:uid="{00000000-0005-0000-0000-0000BD100000}"/>
    <cellStyle name="Normal 4 2 4 3" xfId="328" xr:uid="{00000000-0005-0000-0000-0000BE100000}"/>
    <cellStyle name="Normal 4 2 4 3 2" xfId="858" xr:uid="{00000000-0005-0000-0000-0000BF100000}"/>
    <cellStyle name="Normal 4 2 4 3 2 2" xfId="1917" xr:uid="{00000000-0005-0000-0000-0000C0100000}"/>
    <cellStyle name="Normal 4 2 4 3 2 2 2" xfId="4039" xr:uid="{00000000-0005-0000-0000-0000C1100000}"/>
    <cellStyle name="Normal 4 2 4 3 2 2 2 2" xfId="8285" xr:uid="{00000000-0005-0000-0000-0000C2100000}"/>
    <cellStyle name="Normal 4 2 4 3 2 2 3" xfId="6163" xr:uid="{00000000-0005-0000-0000-0000C3100000}"/>
    <cellStyle name="Normal 4 2 4 3 2 3" xfId="2980" xr:uid="{00000000-0005-0000-0000-0000C4100000}"/>
    <cellStyle name="Normal 4 2 4 3 2 3 2" xfId="7226" xr:uid="{00000000-0005-0000-0000-0000C5100000}"/>
    <cellStyle name="Normal 4 2 4 3 2 4" xfId="5104" xr:uid="{00000000-0005-0000-0000-0000C6100000}"/>
    <cellStyle name="Normal 4 2 4 3 3" xfId="1388" xr:uid="{00000000-0005-0000-0000-0000C7100000}"/>
    <cellStyle name="Normal 4 2 4 3 3 2" xfId="3510" xr:uid="{00000000-0005-0000-0000-0000C8100000}"/>
    <cellStyle name="Normal 4 2 4 3 3 2 2" xfId="7756" xr:uid="{00000000-0005-0000-0000-0000C9100000}"/>
    <cellStyle name="Normal 4 2 4 3 3 3" xfId="5634" xr:uid="{00000000-0005-0000-0000-0000CA100000}"/>
    <cellStyle name="Normal 4 2 4 3 4" xfId="2451" xr:uid="{00000000-0005-0000-0000-0000CB100000}"/>
    <cellStyle name="Normal 4 2 4 3 4 2" xfId="6697" xr:uid="{00000000-0005-0000-0000-0000CC100000}"/>
    <cellStyle name="Normal 4 2 4 3 5" xfId="4575" xr:uid="{00000000-0005-0000-0000-0000CD100000}"/>
    <cellStyle name="Normal 4 2 4 4" xfId="595" xr:uid="{00000000-0005-0000-0000-0000CE100000}"/>
    <cellStyle name="Normal 4 2 4 4 2" xfId="1654" xr:uid="{00000000-0005-0000-0000-0000CF100000}"/>
    <cellStyle name="Normal 4 2 4 4 2 2" xfId="3776" xr:uid="{00000000-0005-0000-0000-0000D0100000}"/>
    <cellStyle name="Normal 4 2 4 4 2 2 2" xfId="8022" xr:uid="{00000000-0005-0000-0000-0000D1100000}"/>
    <cellStyle name="Normal 4 2 4 4 2 3" xfId="5900" xr:uid="{00000000-0005-0000-0000-0000D2100000}"/>
    <cellStyle name="Normal 4 2 4 4 3" xfId="2717" xr:uid="{00000000-0005-0000-0000-0000D3100000}"/>
    <cellStyle name="Normal 4 2 4 4 3 2" xfId="6963" xr:uid="{00000000-0005-0000-0000-0000D4100000}"/>
    <cellStyle name="Normal 4 2 4 4 4" xfId="4841" xr:uid="{00000000-0005-0000-0000-0000D5100000}"/>
    <cellStyle name="Normal 4 2 4 5" xfId="1125" xr:uid="{00000000-0005-0000-0000-0000D6100000}"/>
    <cellStyle name="Normal 4 2 4 5 2" xfId="3247" xr:uid="{00000000-0005-0000-0000-0000D7100000}"/>
    <cellStyle name="Normal 4 2 4 5 2 2" xfId="7493" xr:uid="{00000000-0005-0000-0000-0000D8100000}"/>
    <cellStyle name="Normal 4 2 4 5 3" xfId="5371" xr:uid="{00000000-0005-0000-0000-0000D9100000}"/>
    <cellStyle name="Normal 4 2 4 6" xfId="2188" xr:uid="{00000000-0005-0000-0000-0000DA100000}"/>
    <cellStyle name="Normal 4 2 4 6 2" xfId="6434" xr:uid="{00000000-0005-0000-0000-0000DB100000}"/>
    <cellStyle name="Normal 4 2 4 7" xfId="4312" xr:uid="{00000000-0005-0000-0000-0000DC100000}"/>
    <cellStyle name="Normal 4 2 5" xfId="153" xr:uid="{00000000-0005-0000-0000-0000DD100000}"/>
    <cellStyle name="Normal 4 2 5 2" xfId="416" xr:uid="{00000000-0005-0000-0000-0000DE100000}"/>
    <cellStyle name="Normal 4 2 5 2 2" xfId="946" xr:uid="{00000000-0005-0000-0000-0000DF100000}"/>
    <cellStyle name="Normal 4 2 5 2 2 2" xfId="2005" xr:uid="{00000000-0005-0000-0000-0000E0100000}"/>
    <cellStyle name="Normal 4 2 5 2 2 2 2" xfId="4127" xr:uid="{00000000-0005-0000-0000-0000E1100000}"/>
    <cellStyle name="Normal 4 2 5 2 2 2 2 2" xfId="8373" xr:uid="{00000000-0005-0000-0000-0000E2100000}"/>
    <cellStyle name="Normal 4 2 5 2 2 2 3" xfId="6251" xr:uid="{00000000-0005-0000-0000-0000E3100000}"/>
    <cellStyle name="Normal 4 2 5 2 2 3" xfId="3068" xr:uid="{00000000-0005-0000-0000-0000E4100000}"/>
    <cellStyle name="Normal 4 2 5 2 2 3 2" xfId="7314" xr:uid="{00000000-0005-0000-0000-0000E5100000}"/>
    <cellStyle name="Normal 4 2 5 2 2 4" xfId="5192" xr:uid="{00000000-0005-0000-0000-0000E6100000}"/>
    <cellStyle name="Normal 4 2 5 2 3" xfId="1476" xr:uid="{00000000-0005-0000-0000-0000E7100000}"/>
    <cellStyle name="Normal 4 2 5 2 3 2" xfId="3598" xr:uid="{00000000-0005-0000-0000-0000E8100000}"/>
    <cellStyle name="Normal 4 2 5 2 3 2 2" xfId="7844" xr:uid="{00000000-0005-0000-0000-0000E9100000}"/>
    <cellStyle name="Normal 4 2 5 2 3 3" xfId="5722" xr:uid="{00000000-0005-0000-0000-0000EA100000}"/>
    <cellStyle name="Normal 4 2 5 2 4" xfId="2539" xr:uid="{00000000-0005-0000-0000-0000EB100000}"/>
    <cellStyle name="Normal 4 2 5 2 4 2" xfId="6785" xr:uid="{00000000-0005-0000-0000-0000EC100000}"/>
    <cellStyle name="Normal 4 2 5 2 5" xfId="4663" xr:uid="{00000000-0005-0000-0000-0000ED100000}"/>
    <cellStyle name="Normal 4 2 5 3" xfId="683" xr:uid="{00000000-0005-0000-0000-0000EE100000}"/>
    <cellStyle name="Normal 4 2 5 3 2" xfId="1742" xr:uid="{00000000-0005-0000-0000-0000EF100000}"/>
    <cellStyle name="Normal 4 2 5 3 2 2" xfId="3864" xr:uid="{00000000-0005-0000-0000-0000F0100000}"/>
    <cellStyle name="Normal 4 2 5 3 2 2 2" xfId="8110" xr:uid="{00000000-0005-0000-0000-0000F1100000}"/>
    <cellStyle name="Normal 4 2 5 3 2 3" xfId="5988" xr:uid="{00000000-0005-0000-0000-0000F2100000}"/>
    <cellStyle name="Normal 4 2 5 3 3" xfId="2805" xr:uid="{00000000-0005-0000-0000-0000F3100000}"/>
    <cellStyle name="Normal 4 2 5 3 3 2" xfId="7051" xr:uid="{00000000-0005-0000-0000-0000F4100000}"/>
    <cellStyle name="Normal 4 2 5 3 4" xfId="4929" xr:uid="{00000000-0005-0000-0000-0000F5100000}"/>
    <cellStyle name="Normal 4 2 5 4" xfId="1213" xr:uid="{00000000-0005-0000-0000-0000F6100000}"/>
    <cellStyle name="Normal 4 2 5 4 2" xfId="3335" xr:uid="{00000000-0005-0000-0000-0000F7100000}"/>
    <cellStyle name="Normal 4 2 5 4 2 2" xfId="7581" xr:uid="{00000000-0005-0000-0000-0000F8100000}"/>
    <cellStyle name="Normal 4 2 5 4 3" xfId="5459" xr:uid="{00000000-0005-0000-0000-0000F9100000}"/>
    <cellStyle name="Normal 4 2 5 5" xfId="2276" xr:uid="{00000000-0005-0000-0000-0000FA100000}"/>
    <cellStyle name="Normal 4 2 5 5 2" xfId="6522" xr:uid="{00000000-0005-0000-0000-0000FB100000}"/>
    <cellStyle name="Normal 4 2 5 6" xfId="4400" xr:uid="{00000000-0005-0000-0000-0000FC100000}"/>
    <cellStyle name="Normal 4 2 6" xfId="285" xr:uid="{00000000-0005-0000-0000-0000FD100000}"/>
    <cellStyle name="Normal 4 2 6 2" xfId="815" xr:uid="{00000000-0005-0000-0000-0000FE100000}"/>
    <cellStyle name="Normal 4 2 6 2 2" xfId="1874" xr:uid="{00000000-0005-0000-0000-0000FF100000}"/>
    <cellStyle name="Normal 4 2 6 2 2 2" xfId="3996" xr:uid="{00000000-0005-0000-0000-000000110000}"/>
    <cellStyle name="Normal 4 2 6 2 2 2 2" xfId="8242" xr:uid="{00000000-0005-0000-0000-000001110000}"/>
    <cellStyle name="Normal 4 2 6 2 2 3" xfId="6120" xr:uid="{00000000-0005-0000-0000-000002110000}"/>
    <cellStyle name="Normal 4 2 6 2 3" xfId="2937" xr:uid="{00000000-0005-0000-0000-000003110000}"/>
    <cellStyle name="Normal 4 2 6 2 3 2" xfId="7183" xr:uid="{00000000-0005-0000-0000-000004110000}"/>
    <cellStyle name="Normal 4 2 6 2 4" xfId="5061" xr:uid="{00000000-0005-0000-0000-000005110000}"/>
    <cellStyle name="Normal 4 2 6 3" xfId="1345" xr:uid="{00000000-0005-0000-0000-000006110000}"/>
    <cellStyle name="Normal 4 2 6 3 2" xfId="3467" xr:uid="{00000000-0005-0000-0000-000007110000}"/>
    <cellStyle name="Normal 4 2 6 3 2 2" xfId="7713" xr:uid="{00000000-0005-0000-0000-000008110000}"/>
    <cellStyle name="Normal 4 2 6 3 3" xfId="5591" xr:uid="{00000000-0005-0000-0000-000009110000}"/>
    <cellStyle name="Normal 4 2 6 4" xfId="2408" xr:uid="{00000000-0005-0000-0000-00000A110000}"/>
    <cellStyle name="Normal 4 2 6 4 2" xfId="6654" xr:uid="{00000000-0005-0000-0000-00000B110000}"/>
    <cellStyle name="Normal 4 2 6 5" xfId="4532" xr:uid="{00000000-0005-0000-0000-00000C110000}"/>
    <cellStyle name="Normal 4 2 7" xfId="552" xr:uid="{00000000-0005-0000-0000-00000D110000}"/>
    <cellStyle name="Normal 4 2 7 2" xfId="1611" xr:uid="{00000000-0005-0000-0000-00000E110000}"/>
    <cellStyle name="Normal 4 2 7 2 2" xfId="3733" xr:uid="{00000000-0005-0000-0000-00000F110000}"/>
    <cellStyle name="Normal 4 2 7 2 2 2" xfId="7979" xr:uid="{00000000-0005-0000-0000-000010110000}"/>
    <cellStyle name="Normal 4 2 7 2 3" xfId="5857" xr:uid="{00000000-0005-0000-0000-000011110000}"/>
    <cellStyle name="Normal 4 2 7 3" xfId="2674" xr:uid="{00000000-0005-0000-0000-000012110000}"/>
    <cellStyle name="Normal 4 2 7 3 2" xfId="6920" xr:uid="{00000000-0005-0000-0000-000013110000}"/>
    <cellStyle name="Normal 4 2 7 4" xfId="4798" xr:uid="{00000000-0005-0000-0000-000014110000}"/>
    <cellStyle name="Normal 4 2 8" xfId="1082" xr:uid="{00000000-0005-0000-0000-000015110000}"/>
    <cellStyle name="Normal 4 2 8 2" xfId="3204" xr:uid="{00000000-0005-0000-0000-000016110000}"/>
    <cellStyle name="Normal 4 2 8 2 2" xfId="7450" xr:uid="{00000000-0005-0000-0000-000017110000}"/>
    <cellStyle name="Normal 4 2 8 3" xfId="5328" xr:uid="{00000000-0005-0000-0000-000018110000}"/>
    <cellStyle name="Normal 4 2 9" xfId="2145" xr:uid="{00000000-0005-0000-0000-000019110000}"/>
    <cellStyle name="Normal 4 2 9 2" xfId="6391" xr:uid="{00000000-0005-0000-0000-00001A110000}"/>
    <cellStyle name="Normal 4 3" xfId="31" xr:uid="{00000000-0005-0000-0000-00001B110000}"/>
    <cellStyle name="Normal 4 3 2" xfId="117" xr:uid="{00000000-0005-0000-0000-00001C110000}"/>
    <cellStyle name="Normal 4 3 2 2" xfId="248" xr:uid="{00000000-0005-0000-0000-00001D110000}"/>
    <cellStyle name="Normal 4 3 2 2 2" xfId="511" xr:uid="{00000000-0005-0000-0000-00001E110000}"/>
    <cellStyle name="Normal 4 3 2 2 2 2" xfId="1041" xr:uid="{00000000-0005-0000-0000-00001F110000}"/>
    <cellStyle name="Normal 4 3 2 2 2 2 2" xfId="2100" xr:uid="{00000000-0005-0000-0000-000020110000}"/>
    <cellStyle name="Normal 4 3 2 2 2 2 2 2" xfId="4222" xr:uid="{00000000-0005-0000-0000-000021110000}"/>
    <cellStyle name="Normal 4 3 2 2 2 2 2 2 2" xfId="8468" xr:uid="{00000000-0005-0000-0000-000022110000}"/>
    <cellStyle name="Normal 4 3 2 2 2 2 2 3" xfId="6346" xr:uid="{00000000-0005-0000-0000-000023110000}"/>
    <cellStyle name="Normal 4 3 2 2 2 2 3" xfId="3163" xr:uid="{00000000-0005-0000-0000-000024110000}"/>
    <cellStyle name="Normal 4 3 2 2 2 2 3 2" xfId="7409" xr:uid="{00000000-0005-0000-0000-000025110000}"/>
    <cellStyle name="Normal 4 3 2 2 2 2 4" xfId="5287" xr:uid="{00000000-0005-0000-0000-000026110000}"/>
    <cellStyle name="Normal 4 3 2 2 2 3" xfId="1571" xr:uid="{00000000-0005-0000-0000-000027110000}"/>
    <cellStyle name="Normal 4 3 2 2 2 3 2" xfId="3693" xr:uid="{00000000-0005-0000-0000-000028110000}"/>
    <cellStyle name="Normal 4 3 2 2 2 3 2 2" xfId="7939" xr:uid="{00000000-0005-0000-0000-000029110000}"/>
    <cellStyle name="Normal 4 3 2 2 2 3 3" xfId="5817" xr:uid="{00000000-0005-0000-0000-00002A110000}"/>
    <cellStyle name="Normal 4 3 2 2 2 4" xfId="2634" xr:uid="{00000000-0005-0000-0000-00002B110000}"/>
    <cellStyle name="Normal 4 3 2 2 2 4 2" xfId="6880" xr:uid="{00000000-0005-0000-0000-00002C110000}"/>
    <cellStyle name="Normal 4 3 2 2 2 5" xfId="4758" xr:uid="{00000000-0005-0000-0000-00002D110000}"/>
    <cellStyle name="Normal 4 3 2 2 3" xfId="778" xr:uid="{00000000-0005-0000-0000-00002E110000}"/>
    <cellStyle name="Normal 4 3 2 2 3 2" xfId="1837" xr:uid="{00000000-0005-0000-0000-00002F110000}"/>
    <cellStyle name="Normal 4 3 2 2 3 2 2" xfId="3959" xr:uid="{00000000-0005-0000-0000-000030110000}"/>
    <cellStyle name="Normal 4 3 2 2 3 2 2 2" xfId="8205" xr:uid="{00000000-0005-0000-0000-000031110000}"/>
    <cellStyle name="Normal 4 3 2 2 3 2 3" xfId="6083" xr:uid="{00000000-0005-0000-0000-000032110000}"/>
    <cellStyle name="Normal 4 3 2 2 3 3" xfId="2900" xr:uid="{00000000-0005-0000-0000-000033110000}"/>
    <cellStyle name="Normal 4 3 2 2 3 3 2" xfId="7146" xr:uid="{00000000-0005-0000-0000-000034110000}"/>
    <cellStyle name="Normal 4 3 2 2 3 4" xfId="5024" xr:uid="{00000000-0005-0000-0000-000035110000}"/>
    <cellStyle name="Normal 4 3 2 2 4" xfId="1308" xr:uid="{00000000-0005-0000-0000-000036110000}"/>
    <cellStyle name="Normal 4 3 2 2 4 2" xfId="3430" xr:uid="{00000000-0005-0000-0000-000037110000}"/>
    <cellStyle name="Normal 4 3 2 2 4 2 2" xfId="7676" xr:uid="{00000000-0005-0000-0000-000038110000}"/>
    <cellStyle name="Normal 4 3 2 2 4 3" xfId="5554" xr:uid="{00000000-0005-0000-0000-000039110000}"/>
    <cellStyle name="Normal 4 3 2 2 5" xfId="2371" xr:uid="{00000000-0005-0000-0000-00003A110000}"/>
    <cellStyle name="Normal 4 3 2 2 5 2" xfId="6617" xr:uid="{00000000-0005-0000-0000-00003B110000}"/>
    <cellStyle name="Normal 4 3 2 2 6" xfId="4495" xr:uid="{00000000-0005-0000-0000-00003C110000}"/>
    <cellStyle name="Normal 4 3 2 3" xfId="380" xr:uid="{00000000-0005-0000-0000-00003D110000}"/>
    <cellStyle name="Normal 4 3 2 3 2" xfId="910" xr:uid="{00000000-0005-0000-0000-00003E110000}"/>
    <cellStyle name="Normal 4 3 2 3 2 2" xfId="1969" xr:uid="{00000000-0005-0000-0000-00003F110000}"/>
    <cellStyle name="Normal 4 3 2 3 2 2 2" xfId="4091" xr:uid="{00000000-0005-0000-0000-000040110000}"/>
    <cellStyle name="Normal 4 3 2 3 2 2 2 2" xfId="8337" xr:uid="{00000000-0005-0000-0000-000041110000}"/>
    <cellStyle name="Normal 4 3 2 3 2 2 3" xfId="6215" xr:uid="{00000000-0005-0000-0000-000042110000}"/>
    <cellStyle name="Normal 4 3 2 3 2 3" xfId="3032" xr:uid="{00000000-0005-0000-0000-000043110000}"/>
    <cellStyle name="Normal 4 3 2 3 2 3 2" xfId="7278" xr:uid="{00000000-0005-0000-0000-000044110000}"/>
    <cellStyle name="Normal 4 3 2 3 2 4" xfId="5156" xr:uid="{00000000-0005-0000-0000-000045110000}"/>
    <cellStyle name="Normal 4 3 2 3 3" xfId="1440" xr:uid="{00000000-0005-0000-0000-000046110000}"/>
    <cellStyle name="Normal 4 3 2 3 3 2" xfId="3562" xr:uid="{00000000-0005-0000-0000-000047110000}"/>
    <cellStyle name="Normal 4 3 2 3 3 2 2" xfId="7808" xr:uid="{00000000-0005-0000-0000-000048110000}"/>
    <cellStyle name="Normal 4 3 2 3 3 3" xfId="5686" xr:uid="{00000000-0005-0000-0000-000049110000}"/>
    <cellStyle name="Normal 4 3 2 3 4" xfId="2503" xr:uid="{00000000-0005-0000-0000-00004A110000}"/>
    <cellStyle name="Normal 4 3 2 3 4 2" xfId="6749" xr:uid="{00000000-0005-0000-0000-00004B110000}"/>
    <cellStyle name="Normal 4 3 2 3 5" xfId="4627" xr:uid="{00000000-0005-0000-0000-00004C110000}"/>
    <cellStyle name="Normal 4 3 2 4" xfId="647" xr:uid="{00000000-0005-0000-0000-00004D110000}"/>
    <cellStyle name="Normal 4 3 2 4 2" xfId="1706" xr:uid="{00000000-0005-0000-0000-00004E110000}"/>
    <cellStyle name="Normal 4 3 2 4 2 2" xfId="3828" xr:uid="{00000000-0005-0000-0000-00004F110000}"/>
    <cellStyle name="Normal 4 3 2 4 2 2 2" xfId="8074" xr:uid="{00000000-0005-0000-0000-000050110000}"/>
    <cellStyle name="Normal 4 3 2 4 2 3" xfId="5952" xr:uid="{00000000-0005-0000-0000-000051110000}"/>
    <cellStyle name="Normal 4 3 2 4 3" xfId="2769" xr:uid="{00000000-0005-0000-0000-000052110000}"/>
    <cellStyle name="Normal 4 3 2 4 3 2" xfId="7015" xr:uid="{00000000-0005-0000-0000-000053110000}"/>
    <cellStyle name="Normal 4 3 2 4 4" xfId="4893" xr:uid="{00000000-0005-0000-0000-000054110000}"/>
    <cellStyle name="Normal 4 3 2 5" xfId="1177" xr:uid="{00000000-0005-0000-0000-000055110000}"/>
    <cellStyle name="Normal 4 3 2 5 2" xfId="3299" xr:uid="{00000000-0005-0000-0000-000056110000}"/>
    <cellStyle name="Normal 4 3 2 5 2 2" xfId="7545" xr:uid="{00000000-0005-0000-0000-000057110000}"/>
    <cellStyle name="Normal 4 3 2 5 3" xfId="5423" xr:uid="{00000000-0005-0000-0000-000058110000}"/>
    <cellStyle name="Normal 4 3 2 6" xfId="2240" xr:uid="{00000000-0005-0000-0000-000059110000}"/>
    <cellStyle name="Normal 4 3 2 6 2" xfId="6486" xr:uid="{00000000-0005-0000-0000-00005A110000}"/>
    <cellStyle name="Normal 4 3 2 7" xfId="4364" xr:uid="{00000000-0005-0000-0000-00005B110000}"/>
    <cellStyle name="Normal 4 3 3" xfId="74" xr:uid="{00000000-0005-0000-0000-00005C110000}"/>
    <cellStyle name="Normal 4 3 3 2" xfId="206" xr:uid="{00000000-0005-0000-0000-00005D110000}"/>
    <cellStyle name="Normal 4 3 3 2 2" xfId="469" xr:uid="{00000000-0005-0000-0000-00005E110000}"/>
    <cellStyle name="Normal 4 3 3 2 2 2" xfId="999" xr:uid="{00000000-0005-0000-0000-00005F110000}"/>
    <cellStyle name="Normal 4 3 3 2 2 2 2" xfId="2058" xr:uid="{00000000-0005-0000-0000-000060110000}"/>
    <cellStyle name="Normal 4 3 3 2 2 2 2 2" xfId="4180" xr:uid="{00000000-0005-0000-0000-000061110000}"/>
    <cellStyle name="Normal 4 3 3 2 2 2 2 2 2" xfId="8426" xr:uid="{00000000-0005-0000-0000-000062110000}"/>
    <cellStyle name="Normal 4 3 3 2 2 2 2 3" xfId="6304" xr:uid="{00000000-0005-0000-0000-000063110000}"/>
    <cellStyle name="Normal 4 3 3 2 2 2 3" xfId="3121" xr:uid="{00000000-0005-0000-0000-000064110000}"/>
    <cellStyle name="Normal 4 3 3 2 2 2 3 2" xfId="7367" xr:uid="{00000000-0005-0000-0000-000065110000}"/>
    <cellStyle name="Normal 4 3 3 2 2 2 4" xfId="5245" xr:uid="{00000000-0005-0000-0000-000066110000}"/>
    <cellStyle name="Normal 4 3 3 2 2 3" xfId="1529" xr:uid="{00000000-0005-0000-0000-000067110000}"/>
    <cellStyle name="Normal 4 3 3 2 2 3 2" xfId="3651" xr:uid="{00000000-0005-0000-0000-000068110000}"/>
    <cellStyle name="Normal 4 3 3 2 2 3 2 2" xfId="7897" xr:uid="{00000000-0005-0000-0000-000069110000}"/>
    <cellStyle name="Normal 4 3 3 2 2 3 3" xfId="5775" xr:uid="{00000000-0005-0000-0000-00006A110000}"/>
    <cellStyle name="Normal 4 3 3 2 2 4" xfId="2592" xr:uid="{00000000-0005-0000-0000-00006B110000}"/>
    <cellStyle name="Normal 4 3 3 2 2 4 2" xfId="6838" xr:uid="{00000000-0005-0000-0000-00006C110000}"/>
    <cellStyle name="Normal 4 3 3 2 2 5" xfId="4716" xr:uid="{00000000-0005-0000-0000-00006D110000}"/>
    <cellStyle name="Normal 4 3 3 2 3" xfId="736" xr:uid="{00000000-0005-0000-0000-00006E110000}"/>
    <cellStyle name="Normal 4 3 3 2 3 2" xfId="1795" xr:uid="{00000000-0005-0000-0000-00006F110000}"/>
    <cellStyle name="Normal 4 3 3 2 3 2 2" xfId="3917" xr:uid="{00000000-0005-0000-0000-000070110000}"/>
    <cellStyle name="Normal 4 3 3 2 3 2 2 2" xfId="8163" xr:uid="{00000000-0005-0000-0000-000071110000}"/>
    <cellStyle name="Normal 4 3 3 2 3 2 3" xfId="6041" xr:uid="{00000000-0005-0000-0000-000072110000}"/>
    <cellStyle name="Normal 4 3 3 2 3 3" xfId="2858" xr:uid="{00000000-0005-0000-0000-000073110000}"/>
    <cellStyle name="Normal 4 3 3 2 3 3 2" xfId="7104" xr:uid="{00000000-0005-0000-0000-000074110000}"/>
    <cellStyle name="Normal 4 3 3 2 3 4" xfId="4982" xr:uid="{00000000-0005-0000-0000-000075110000}"/>
    <cellStyle name="Normal 4 3 3 2 4" xfId="1266" xr:uid="{00000000-0005-0000-0000-000076110000}"/>
    <cellStyle name="Normal 4 3 3 2 4 2" xfId="3388" xr:uid="{00000000-0005-0000-0000-000077110000}"/>
    <cellStyle name="Normal 4 3 3 2 4 2 2" xfId="7634" xr:uid="{00000000-0005-0000-0000-000078110000}"/>
    <cellStyle name="Normal 4 3 3 2 4 3" xfId="5512" xr:uid="{00000000-0005-0000-0000-000079110000}"/>
    <cellStyle name="Normal 4 3 3 2 5" xfId="2329" xr:uid="{00000000-0005-0000-0000-00007A110000}"/>
    <cellStyle name="Normal 4 3 3 2 5 2" xfId="6575" xr:uid="{00000000-0005-0000-0000-00007B110000}"/>
    <cellStyle name="Normal 4 3 3 2 6" xfId="4453" xr:uid="{00000000-0005-0000-0000-00007C110000}"/>
    <cellStyle name="Normal 4 3 3 3" xfId="338" xr:uid="{00000000-0005-0000-0000-00007D110000}"/>
    <cellStyle name="Normal 4 3 3 3 2" xfId="868" xr:uid="{00000000-0005-0000-0000-00007E110000}"/>
    <cellStyle name="Normal 4 3 3 3 2 2" xfId="1927" xr:uid="{00000000-0005-0000-0000-00007F110000}"/>
    <cellStyle name="Normal 4 3 3 3 2 2 2" xfId="4049" xr:uid="{00000000-0005-0000-0000-000080110000}"/>
    <cellStyle name="Normal 4 3 3 3 2 2 2 2" xfId="8295" xr:uid="{00000000-0005-0000-0000-000081110000}"/>
    <cellStyle name="Normal 4 3 3 3 2 2 3" xfId="6173" xr:uid="{00000000-0005-0000-0000-000082110000}"/>
    <cellStyle name="Normal 4 3 3 3 2 3" xfId="2990" xr:uid="{00000000-0005-0000-0000-000083110000}"/>
    <cellStyle name="Normal 4 3 3 3 2 3 2" xfId="7236" xr:uid="{00000000-0005-0000-0000-000084110000}"/>
    <cellStyle name="Normal 4 3 3 3 2 4" xfId="5114" xr:uid="{00000000-0005-0000-0000-000085110000}"/>
    <cellStyle name="Normal 4 3 3 3 3" xfId="1398" xr:uid="{00000000-0005-0000-0000-000086110000}"/>
    <cellStyle name="Normal 4 3 3 3 3 2" xfId="3520" xr:uid="{00000000-0005-0000-0000-000087110000}"/>
    <cellStyle name="Normal 4 3 3 3 3 2 2" xfId="7766" xr:uid="{00000000-0005-0000-0000-000088110000}"/>
    <cellStyle name="Normal 4 3 3 3 3 3" xfId="5644" xr:uid="{00000000-0005-0000-0000-000089110000}"/>
    <cellStyle name="Normal 4 3 3 3 4" xfId="2461" xr:uid="{00000000-0005-0000-0000-00008A110000}"/>
    <cellStyle name="Normal 4 3 3 3 4 2" xfId="6707" xr:uid="{00000000-0005-0000-0000-00008B110000}"/>
    <cellStyle name="Normal 4 3 3 3 5" xfId="4585" xr:uid="{00000000-0005-0000-0000-00008C110000}"/>
    <cellStyle name="Normal 4 3 3 4" xfId="605" xr:uid="{00000000-0005-0000-0000-00008D110000}"/>
    <cellStyle name="Normal 4 3 3 4 2" xfId="1664" xr:uid="{00000000-0005-0000-0000-00008E110000}"/>
    <cellStyle name="Normal 4 3 3 4 2 2" xfId="3786" xr:uid="{00000000-0005-0000-0000-00008F110000}"/>
    <cellStyle name="Normal 4 3 3 4 2 2 2" xfId="8032" xr:uid="{00000000-0005-0000-0000-000090110000}"/>
    <cellStyle name="Normal 4 3 3 4 2 3" xfId="5910" xr:uid="{00000000-0005-0000-0000-000091110000}"/>
    <cellStyle name="Normal 4 3 3 4 3" xfId="2727" xr:uid="{00000000-0005-0000-0000-000092110000}"/>
    <cellStyle name="Normal 4 3 3 4 3 2" xfId="6973" xr:uid="{00000000-0005-0000-0000-000093110000}"/>
    <cellStyle name="Normal 4 3 3 4 4" xfId="4851" xr:uid="{00000000-0005-0000-0000-000094110000}"/>
    <cellStyle name="Normal 4 3 3 5" xfId="1135" xr:uid="{00000000-0005-0000-0000-000095110000}"/>
    <cellStyle name="Normal 4 3 3 5 2" xfId="3257" xr:uid="{00000000-0005-0000-0000-000096110000}"/>
    <cellStyle name="Normal 4 3 3 5 2 2" xfId="7503" xr:uid="{00000000-0005-0000-0000-000097110000}"/>
    <cellStyle name="Normal 4 3 3 5 3" xfId="5381" xr:uid="{00000000-0005-0000-0000-000098110000}"/>
    <cellStyle name="Normal 4 3 3 6" xfId="2198" xr:uid="{00000000-0005-0000-0000-000099110000}"/>
    <cellStyle name="Normal 4 3 3 6 2" xfId="6444" xr:uid="{00000000-0005-0000-0000-00009A110000}"/>
    <cellStyle name="Normal 4 3 3 7" xfId="4322" xr:uid="{00000000-0005-0000-0000-00009B110000}"/>
    <cellStyle name="Normal 4 3 4" xfId="163" xr:uid="{00000000-0005-0000-0000-00009C110000}"/>
    <cellStyle name="Normal 4 3 4 2" xfId="426" xr:uid="{00000000-0005-0000-0000-00009D110000}"/>
    <cellStyle name="Normal 4 3 4 2 2" xfId="956" xr:uid="{00000000-0005-0000-0000-00009E110000}"/>
    <cellStyle name="Normal 4 3 4 2 2 2" xfId="2015" xr:uid="{00000000-0005-0000-0000-00009F110000}"/>
    <cellStyle name="Normal 4 3 4 2 2 2 2" xfId="4137" xr:uid="{00000000-0005-0000-0000-0000A0110000}"/>
    <cellStyle name="Normal 4 3 4 2 2 2 2 2" xfId="8383" xr:uid="{00000000-0005-0000-0000-0000A1110000}"/>
    <cellStyle name="Normal 4 3 4 2 2 2 3" xfId="6261" xr:uid="{00000000-0005-0000-0000-0000A2110000}"/>
    <cellStyle name="Normal 4 3 4 2 2 3" xfId="3078" xr:uid="{00000000-0005-0000-0000-0000A3110000}"/>
    <cellStyle name="Normal 4 3 4 2 2 3 2" xfId="7324" xr:uid="{00000000-0005-0000-0000-0000A4110000}"/>
    <cellStyle name="Normal 4 3 4 2 2 4" xfId="5202" xr:uid="{00000000-0005-0000-0000-0000A5110000}"/>
    <cellStyle name="Normal 4 3 4 2 3" xfId="1486" xr:uid="{00000000-0005-0000-0000-0000A6110000}"/>
    <cellStyle name="Normal 4 3 4 2 3 2" xfId="3608" xr:uid="{00000000-0005-0000-0000-0000A7110000}"/>
    <cellStyle name="Normal 4 3 4 2 3 2 2" xfId="7854" xr:uid="{00000000-0005-0000-0000-0000A8110000}"/>
    <cellStyle name="Normal 4 3 4 2 3 3" xfId="5732" xr:uid="{00000000-0005-0000-0000-0000A9110000}"/>
    <cellStyle name="Normal 4 3 4 2 4" xfId="2549" xr:uid="{00000000-0005-0000-0000-0000AA110000}"/>
    <cellStyle name="Normal 4 3 4 2 4 2" xfId="6795" xr:uid="{00000000-0005-0000-0000-0000AB110000}"/>
    <cellStyle name="Normal 4 3 4 2 5" xfId="4673" xr:uid="{00000000-0005-0000-0000-0000AC110000}"/>
    <cellStyle name="Normal 4 3 4 3" xfId="693" xr:uid="{00000000-0005-0000-0000-0000AD110000}"/>
    <cellStyle name="Normal 4 3 4 3 2" xfId="1752" xr:uid="{00000000-0005-0000-0000-0000AE110000}"/>
    <cellStyle name="Normal 4 3 4 3 2 2" xfId="3874" xr:uid="{00000000-0005-0000-0000-0000AF110000}"/>
    <cellStyle name="Normal 4 3 4 3 2 2 2" xfId="8120" xr:uid="{00000000-0005-0000-0000-0000B0110000}"/>
    <cellStyle name="Normal 4 3 4 3 2 3" xfId="5998" xr:uid="{00000000-0005-0000-0000-0000B1110000}"/>
    <cellStyle name="Normal 4 3 4 3 3" xfId="2815" xr:uid="{00000000-0005-0000-0000-0000B2110000}"/>
    <cellStyle name="Normal 4 3 4 3 3 2" xfId="7061" xr:uid="{00000000-0005-0000-0000-0000B3110000}"/>
    <cellStyle name="Normal 4 3 4 3 4" xfId="4939" xr:uid="{00000000-0005-0000-0000-0000B4110000}"/>
    <cellStyle name="Normal 4 3 4 4" xfId="1223" xr:uid="{00000000-0005-0000-0000-0000B5110000}"/>
    <cellStyle name="Normal 4 3 4 4 2" xfId="3345" xr:uid="{00000000-0005-0000-0000-0000B6110000}"/>
    <cellStyle name="Normal 4 3 4 4 2 2" xfId="7591" xr:uid="{00000000-0005-0000-0000-0000B7110000}"/>
    <cellStyle name="Normal 4 3 4 4 3" xfId="5469" xr:uid="{00000000-0005-0000-0000-0000B8110000}"/>
    <cellStyle name="Normal 4 3 4 5" xfId="2286" xr:uid="{00000000-0005-0000-0000-0000B9110000}"/>
    <cellStyle name="Normal 4 3 4 5 2" xfId="6532" xr:uid="{00000000-0005-0000-0000-0000BA110000}"/>
    <cellStyle name="Normal 4 3 4 6" xfId="4410" xr:uid="{00000000-0005-0000-0000-0000BB110000}"/>
    <cellStyle name="Normal 4 3 5" xfId="295" xr:uid="{00000000-0005-0000-0000-0000BC110000}"/>
    <cellStyle name="Normal 4 3 5 2" xfId="825" xr:uid="{00000000-0005-0000-0000-0000BD110000}"/>
    <cellStyle name="Normal 4 3 5 2 2" xfId="1884" xr:uid="{00000000-0005-0000-0000-0000BE110000}"/>
    <cellStyle name="Normal 4 3 5 2 2 2" xfId="4006" xr:uid="{00000000-0005-0000-0000-0000BF110000}"/>
    <cellStyle name="Normal 4 3 5 2 2 2 2" xfId="8252" xr:uid="{00000000-0005-0000-0000-0000C0110000}"/>
    <cellStyle name="Normal 4 3 5 2 2 3" xfId="6130" xr:uid="{00000000-0005-0000-0000-0000C1110000}"/>
    <cellStyle name="Normal 4 3 5 2 3" xfId="2947" xr:uid="{00000000-0005-0000-0000-0000C2110000}"/>
    <cellStyle name="Normal 4 3 5 2 3 2" xfId="7193" xr:uid="{00000000-0005-0000-0000-0000C3110000}"/>
    <cellStyle name="Normal 4 3 5 2 4" xfId="5071" xr:uid="{00000000-0005-0000-0000-0000C4110000}"/>
    <cellStyle name="Normal 4 3 5 3" xfId="1355" xr:uid="{00000000-0005-0000-0000-0000C5110000}"/>
    <cellStyle name="Normal 4 3 5 3 2" xfId="3477" xr:uid="{00000000-0005-0000-0000-0000C6110000}"/>
    <cellStyle name="Normal 4 3 5 3 2 2" xfId="7723" xr:uid="{00000000-0005-0000-0000-0000C7110000}"/>
    <cellStyle name="Normal 4 3 5 3 3" xfId="5601" xr:uid="{00000000-0005-0000-0000-0000C8110000}"/>
    <cellStyle name="Normal 4 3 5 4" xfId="2418" xr:uid="{00000000-0005-0000-0000-0000C9110000}"/>
    <cellStyle name="Normal 4 3 5 4 2" xfId="6664" xr:uid="{00000000-0005-0000-0000-0000CA110000}"/>
    <cellStyle name="Normal 4 3 5 5" xfId="4542" xr:uid="{00000000-0005-0000-0000-0000CB110000}"/>
    <cellStyle name="Normal 4 3 6" xfId="562" xr:uid="{00000000-0005-0000-0000-0000CC110000}"/>
    <cellStyle name="Normal 4 3 6 2" xfId="1621" xr:uid="{00000000-0005-0000-0000-0000CD110000}"/>
    <cellStyle name="Normal 4 3 6 2 2" xfId="3743" xr:uid="{00000000-0005-0000-0000-0000CE110000}"/>
    <cellStyle name="Normal 4 3 6 2 2 2" xfId="7989" xr:uid="{00000000-0005-0000-0000-0000CF110000}"/>
    <cellStyle name="Normal 4 3 6 2 3" xfId="5867" xr:uid="{00000000-0005-0000-0000-0000D0110000}"/>
    <cellStyle name="Normal 4 3 6 3" xfId="2684" xr:uid="{00000000-0005-0000-0000-0000D1110000}"/>
    <cellStyle name="Normal 4 3 6 3 2" xfId="6930" xr:uid="{00000000-0005-0000-0000-0000D2110000}"/>
    <cellStyle name="Normal 4 3 6 4" xfId="4808" xr:uid="{00000000-0005-0000-0000-0000D3110000}"/>
    <cellStyle name="Normal 4 3 7" xfId="1092" xr:uid="{00000000-0005-0000-0000-0000D4110000}"/>
    <cellStyle name="Normal 4 3 7 2" xfId="3214" xr:uid="{00000000-0005-0000-0000-0000D5110000}"/>
    <cellStyle name="Normal 4 3 7 2 2" xfId="7460" xr:uid="{00000000-0005-0000-0000-0000D6110000}"/>
    <cellStyle name="Normal 4 3 7 3" xfId="5338" xr:uid="{00000000-0005-0000-0000-0000D7110000}"/>
    <cellStyle name="Normal 4 3 8" xfId="2155" xr:uid="{00000000-0005-0000-0000-0000D8110000}"/>
    <cellStyle name="Normal 4 3 8 2" xfId="6401" xr:uid="{00000000-0005-0000-0000-0000D9110000}"/>
    <cellStyle name="Normal 4 3 9" xfId="4279" xr:uid="{00000000-0005-0000-0000-0000DA110000}"/>
    <cellStyle name="Normal 4 4" xfId="97" xr:uid="{00000000-0005-0000-0000-0000DB110000}"/>
    <cellStyle name="Normal 4 4 2" xfId="228" xr:uid="{00000000-0005-0000-0000-0000DC110000}"/>
    <cellStyle name="Normal 4 4 2 2" xfId="491" xr:uid="{00000000-0005-0000-0000-0000DD110000}"/>
    <cellStyle name="Normal 4 4 2 2 2" xfId="1021" xr:uid="{00000000-0005-0000-0000-0000DE110000}"/>
    <cellStyle name="Normal 4 4 2 2 2 2" xfId="2080" xr:uid="{00000000-0005-0000-0000-0000DF110000}"/>
    <cellStyle name="Normal 4 4 2 2 2 2 2" xfId="4202" xr:uid="{00000000-0005-0000-0000-0000E0110000}"/>
    <cellStyle name="Normal 4 4 2 2 2 2 2 2" xfId="8448" xr:uid="{00000000-0005-0000-0000-0000E1110000}"/>
    <cellStyle name="Normal 4 4 2 2 2 2 3" xfId="6326" xr:uid="{00000000-0005-0000-0000-0000E2110000}"/>
    <cellStyle name="Normal 4 4 2 2 2 3" xfId="3143" xr:uid="{00000000-0005-0000-0000-0000E3110000}"/>
    <cellStyle name="Normal 4 4 2 2 2 3 2" xfId="7389" xr:uid="{00000000-0005-0000-0000-0000E4110000}"/>
    <cellStyle name="Normal 4 4 2 2 2 4" xfId="5267" xr:uid="{00000000-0005-0000-0000-0000E5110000}"/>
    <cellStyle name="Normal 4 4 2 2 3" xfId="1551" xr:uid="{00000000-0005-0000-0000-0000E6110000}"/>
    <cellStyle name="Normal 4 4 2 2 3 2" xfId="3673" xr:uid="{00000000-0005-0000-0000-0000E7110000}"/>
    <cellStyle name="Normal 4 4 2 2 3 2 2" xfId="7919" xr:uid="{00000000-0005-0000-0000-0000E8110000}"/>
    <cellStyle name="Normal 4 4 2 2 3 3" xfId="5797" xr:uid="{00000000-0005-0000-0000-0000E9110000}"/>
    <cellStyle name="Normal 4 4 2 2 4" xfId="2614" xr:uid="{00000000-0005-0000-0000-0000EA110000}"/>
    <cellStyle name="Normal 4 4 2 2 4 2" xfId="6860" xr:uid="{00000000-0005-0000-0000-0000EB110000}"/>
    <cellStyle name="Normal 4 4 2 2 5" xfId="4738" xr:uid="{00000000-0005-0000-0000-0000EC110000}"/>
    <cellStyle name="Normal 4 4 2 3" xfId="758" xr:uid="{00000000-0005-0000-0000-0000ED110000}"/>
    <cellStyle name="Normal 4 4 2 3 2" xfId="1817" xr:uid="{00000000-0005-0000-0000-0000EE110000}"/>
    <cellStyle name="Normal 4 4 2 3 2 2" xfId="3939" xr:uid="{00000000-0005-0000-0000-0000EF110000}"/>
    <cellStyle name="Normal 4 4 2 3 2 2 2" xfId="8185" xr:uid="{00000000-0005-0000-0000-0000F0110000}"/>
    <cellStyle name="Normal 4 4 2 3 2 3" xfId="6063" xr:uid="{00000000-0005-0000-0000-0000F1110000}"/>
    <cellStyle name="Normal 4 4 2 3 3" xfId="2880" xr:uid="{00000000-0005-0000-0000-0000F2110000}"/>
    <cellStyle name="Normal 4 4 2 3 3 2" xfId="7126" xr:uid="{00000000-0005-0000-0000-0000F3110000}"/>
    <cellStyle name="Normal 4 4 2 3 4" xfId="5004" xr:uid="{00000000-0005-0000-0000-0000F4110000}"/>
    <cellStyle name="Normal 4 4 2 4" xfId="1288" xr:uid="{00000000-0005-0000-0000-0000F5110000}"/>
    <cellStyle name="Normal 4 4 2 4 2" xfId="3410" xr:uid="{00000000-0005-0000-0000-0000F6110000}"/>
    <cellStyle name="Normal 4 4 2 4 2 2" xfId="7656" xr:uid="{00000000-0005-0000-0000-0000F7110000}"/>
    <cellStyle name="Normal 4 4 2 4 3" xfId="5534" xr:uid="{00000000-0005-0000-0000-0000F8110000}"/>
    <cellStyle name="Normal 4 4 2 5" xfId="2351" xr:uid="{00000000-0005-0000-0000-0000F9110000}"/>
    <cellStyle name="Normal 4 4 2 5 2" xfId="6597" xr:uid="{00000000-0005-0000-0000-0000FA110000}"/>
    <cellStyle name="Normal 4 4 2 6" xfId="4475" xr:uid="{00000000-0005-0000-0000-0000FB110000}"/>
    <cellStyle name="Normal 4 4 3" xfId="360" xr:uid="{00000000-0005-0000-0000-0000FC110000}"/>
    <cellStyle name="Normal 4 4 3 2" xfId="890" xr:uid="{00000000-0005-0000-0000-0000FD110000}"/>
    <cellStyle name="Normal 4 4 3 2 2" xfId="1949" xr:uid="{00000000-0005-0000-0000-0000FE110000}"/>
    <cellStyle name="Normal 4 4 3 2 2 2" xfId="4071" xr:uid="{00000000-0005-0000-0000-0000FF110000}"/>
    <cellStyle name="Normal 4 4 3 2 2 2 2" xfId="8317" xr:uid="{00000000-0005-0000-0000-000000120000}"/>
    <cellStyle name="Normal 4 4 3 2 2 3" xfId="6195" xr:uid="{00000000-0005-0000-0000-000001120000}"/>
    <cellStyle name="Normal 4 4 3 2 3" xfId="3012" xr:uid="{00000000-0005-0000-0000-000002120000}"/>
    <cellStyle name="Normal 4 4 3 2 3 2" xfId="7258" xr:uid="{00000000-0005-0000-0000-000003120000}"/>
    <cellStyle name="Normal 4 4 3 2 4" xfId="5136" xr:uid="{00000000-0005-0000-0000-000004120000}"/>
    <cellStyle name="Normal 4 4 3 3" xfId="1420" xr:uid="{00000000-0005-0000-0000-000005120000}"/>
    <cellStyle name="Normal 4 4 3 3 2" xfId="3542" xr:uid="{00000000-0005-0000-0000-000006120000}"/>
    <cellStyle name="Normal 4 4 3 3 2 2" xfId="7788" xr:uid="{00000000-0005-0000-0000-000007120000}"/>
    <cellStyle name="Normal 4 4 3 3 3" xfId="5666" xr:uid="{00000000-0005-0000-0000-000008120000}"/>
    <cellStyle name="Normal 4 4 3 4" xfId="2483" xr:uid="{00000000-0005-0000-0000-000009120000}"/>
    <cellStyle name="Normal 4 4 3 4 2" xfId="6729" xr:uid="{00000000-0005-0000-0000-00000A120000}"/>
    <cellStyle name="Normal 4 4 3 5" xfId="4607" xr:uid="{00000000-0005-0000-0000-00000B120000}"/>
    <cellStyle name="Normal 4 4 4" xfId="627" xr:uid="{00000000-0005-0000-0000-00000C120000}"/>
    <cellStyle name="Normal 4 4 4 2" xfId="1686" xr:uid="{00000000-0005-0000-0000-00000D120000}"/>
    <cellStyle name="Normal 4 4 4 2 2" xfId="3808" xr:uid="{00000000-0005-0000-0000-00000E120000}"/>
    <cellStyle name="Normal 4 4 4 2 2 2" xfId="8054" xr:uid="{00000000-0005-0000-0000-00000F120000}"/>
    <cellStyle name="Normal 4 4 4 2 3" xfId="5932" xr:uid="{00000000-0005-0000-0000-000010120000}"/>
    <cellStyle name="Normal 4 4 4 3" xfId="2749" xr:uid="{00000000-0005-0000-0000-000011120000}"/>
    <cellStyle name="Normal 4 4 4 3 2" xfId="6995" xr:uid="{00000000-0005-0000-0000-000012120000}"/>
    <cellStyle name="Normal 4 4 4 4" xfId="4873" xr:uid="{00000000-0005-0000-0000-000013120000}"/>
    <cellStyle name="Normal 4 4 5" xfId="1157" xr:uid="{00000000-0005-0000-0000-000014120000}"/>
    <cellStyle name="Normal 4 4 5 2" xfId="3279" xr:uid="{00000000-0005-0000-0000-000015120000}"/>
    <cellStyle name="Normal 4 4 5 2 2" xfId="7525" xr:uid="{00000000-0005-0000-0000-000016120000}"/>
    <cellStyle name="Normal 4 4 5 3" xfId="5403" xr:uid="{00000000-0005-0000-0000-000017120000}"/>
    <cellStyle name="Normal 4 4 6" xfId="2220" xr:uid="{00000000-0005-0000-0000-000018120000}"/>
    <cellStyle name="Normal 4 4 6 2" xfId="6466" xr:uid="{00000000-0005-0000-0000-000019120000}"/>
    <cellStyle name="Normal 4 4 7" xfId="4344" xr:uid="{00000000-0005-0000-0000-00001A120000}"/>
    <cellStyle name="Normal 4 5" xfId="54" xr:uid="{00000000-0005-0000-0000-00001B120000}"/>
    <cellStyle name="Normal 4 5 2" xfId="186" xr:uid="{00000000-0005-0000-0000-00001C120000}"/>
    <cellStyle name="Normal 4 5 2 2" xfId="449" xr:uid="{00000000-0005-0000-0000-00001D120000}"/>
    <cellStyle name="Normal 4 5 2 2 2" xfId="979" xr:uid="{00000000-0005-0000-0000-00001E120000}"/>
    <cellStyle name="Normal 4 5 2 2 2 2" xfId="2038" xr:uid="{00000000-0005-0000-0000-00001F120000}"/>
    <cellStyle name="Normal 4 5 2 2 2 2 2" xfId="4160" xr:uid="{00000000-0005-0000-0000-000020120000}"/>
    <cellStyle name="Normal 4 5 2 2 2 2 2 2" xfId="8406" xr:uid="{00000000-0005-0000-0000-000021120000}"/>
    <cellStyle name="Normal 4 5 2 2 2 2 3" xfId="6284" xr:uid="{00000000-0005-0000-0000-000022120000}"/>
    <cellStyle name="Normal 4 5 2 2 2 3" xfId="3101" xr:uid="{00000000-0005-0000-0000-000023120000}"/>
    <cellStyle name="Normal 4 5 2 2 2 3 2" xfId="7347" xr:uid="{00000000-0005-0000-0000-000024120000}"/>
    <cellStyle name="Normal 4 5 2 2 2 4" xfId="5225" xr:uid="{00000000-0005-0000-0000-000025120000}"/>
    <cellStyle name="Normal 4 5 2 2 3" xfId="1509" xr:uid="{00000000-0005-0000-0000-000026120000}"/>
    <cellStyle name="Normal 4 5 2 2 3 2" xfId="3631" xr:uid="{00000000-0005-0000-0000-000027120000}"/>
    <cellStyle name="Normal 4 5 2 2 3 2 2" xfId="7877" xr:uid="{00000000-0005-0000-0000-000028120000}"/>
    <cellStyle name="Normal 4 5 2 2 3 3" xfId="5755" xr:uid="{00000000-0005-0000-0000-000029120000}"/>
    <cellStyle name="Normal 4 5 2 2 4" xfId="2572" xr:uid="{00000000-0005-0000-0000-00002A120000}"/>
    <cellStyle name="Normal 4 5 2 2 4 2" xfId="6818" xr:uid="{00000000-0005-0000-0000-00002B120000}"/>
    <cellStyle name="Normal 4 5 2 2 5" xfId="4696" xr:uid="{00000000-0005-0000-0000-00002C120000}"/>
    <cellStyle name="Normal 4 5 2 3" xfId="716" xr:uid="{00000000-0005-0000-0000-00002D120000}"/>
    <cellStyle name="Normal 4 5 2 3 2" xfId="1775" xr:uid="{00000000-0005-0000-0000-00002E120000}"/>
    <cellStyle name="Normal 4 5 2 3 2 2" xfId="3897" xr:uid="{00000000-0005-0000-0000-00002F120000}"/>
    <cellStyle name="Normal 4 5 2 3 2 2 2" xfId="8143" xr:uid="{00000000-0005-0000-0000-000030120000}"/>
    <cellStyle name="Normal 4 5 2 3 2 3" xfId="6021" xr:uid="{00000000-0005-0000-0000-000031120000}"/>
    <cellStyle name="Normal 4 5 2 3 3" xfId="2838" xr:uid="{00000000-0005-0000-0000-000032120000}"/>
    <cellStyle name="Normal 4 5 2 3 3 2" xfId="7084" xr:uid="{00000000-0005-0000-0000-000033120000}"/>
    <cellStyle name="Normal 4 5 2 3 4" xfId="4962" xr:uid="{00000000-0005-0000-0000-000034120000}"/>
    <cellStyle name="Normal 4 5 2 4" xfId="1246" xr:uid="{00000000-0005-0000-0000-000035120000}"/>
    <cellStyle name="Normal 4 5 2 4 2" xfId="3368" xr:uid="{00000000-0005-0000-0000-000036120000}"/>
    <cellStyle name="Normal 4 5 2 4 2 2" xfId="7614" xr:uid="{00000000-0005-0000-0000-000037120000}"/>
    <cellStyle name="Normal 4 5 2 4 3" xfId="5492" xr:uid="{00000000-0005-0000-0000-000038120000}"/>
    <cellStyle name="Normal 4 5 2 5" xfId="2309" xr:uid="{00000000-0005-0000-0000-000039120000}"/>
    <cellStyle name="Normal 4 5 2 5 2" xfId="6555" xr:uid="{00000000-0005-0000-0000-00003A120000}"/>
    <cellStyle name="Normal 4 5 2 6" xfId="4433" xr:uid="{00000000-0005-0000-0000-00003B120000}"/>
    <cellStyle name="Normal 4 5 3" xfId="318" xr:uid="{00000000-0005-0000-0000-00003C120000}"/>
    <cellStyle name="Normal 4 5 3 2" xfId="848" xr:uid="{00000000-0005-0000-0000-00003D120000}"/>
    <cellStyle name="Normal 4 5 3 2 2" xfId="1907" xr:uid="{00000000-0005-0000-0000-00003E120000}"/>
    <cellStyle name="Normal 4 5 3 2 2 2" xfId="4029" xr:uid="{00000000-0005-0000-0000-00003F120000}"/>
    <cellStyle name="Normal 4 5 3 2 2 2 2" xfId="8275" xr:uid="{00000000-0005-0000-0000-000040120000}"/>
    <cellStyle name="Normal 4 5 3 2 2 3" xfId="6153" xr:uid="{00000000-0005-0000-0000-000041120000}"/>
    <cellStyle name="Normal 4 5 3 2 3" xfId="2970" xr:uid="{00000000-0005-0000-0000-000042120000}"/>
    <cellStyle name="Normal 4 5 3 2 3 2" xfId="7216" xr:uid="{00000000-0005-0000-0000-000043120000}"/>
    <cellStyle name="Normal 4 5 3 2 4" xfId="5094" xr:uid="{00000000-0005-0000-0000-000044120000}"/>
    <cellStyle name="Normal 4 5 3 3" xfId="1378" xr:uid="{00000000-0005-0000-0000-000045120000}"/>
    <cellStyle name="Normal 4 5 3 3 2" xfId="3500" xr:uid="{00000000-0005-0000-0000-000046120000}"/>
    <cellStyle name="Normal 4 5 3 3 2 2" xfId="7746" xr:uid="{00000000-0005-0000-0000-000047120000}"/>
    <cellStyle name="Normal 4 5 3 3 3" xfId="5624" xr:uid="{00000000-0005-0000-0000-000048120000}"/>
    <cellStyle name="Normal 4 5 3 4" xfId="2441" xr:uid="{00000000-0005-0000-0000-000049120000}"/>
    <cellStyle name="Normal 4 5 3 4 2" xfId="6687" xr:uid="{00000000-0005-0000-0000-00004A120000}"/>
    <cellStyle name="Normal 4 5 3 5" xfId="4565" xr:uid="{00000000-0005-0000-0000-00004B120000}"/>
    <cellStyle name="Normal 4 5 4" xfId="585" xr:uid="{00000000-0005-0000-0000-00004C120000}"/>
    <cellStyle name="Normal 4 5 4 2" xfId="1644" xr:uid="{00000000-0005-0000-0000-00004D120000}"/>
    <cellStyle name="Normal 4 5 4 2 2" xfId="3766" xr:uid="{00000000-0005-0000-0000-00004E120000}"/>
    <cellStyle name="Normal 4 5 4 2 2 2" xfId="8012" xr:uid="{00000000-0005-0000-0000-00004F120000}"/>
    <cellStyle name="Normal 4 5 4 2 3" xfId="5890" xr:uid="{00000000-0005-0000-0000-000050120000}"/>
    <cellStyle name="Normal 4 5 4 3" xfId="2707" xr:uid="{00000000-0005-0000-0000-000051120000}"/>
    <cellStyle name="Normal 4 5 4 3 2" xfId="6953" xr:uid="{00000000-0005-0000-0000-000052120000}"/>
    <cellStyle name="Normal 4 5 4 4" xfId="4831" xr:uid="{00000000-0005-0000-0000-000053120000}"/>
    <cellStyle name="Normal 4 5 5" xfId="1115" xr:uid="{00000000-0005-0000-0000-000054120000}"/>
    <cellStyle name="Normal 4 5 5 2" xfId="3237" xr:uid="{00000000-0005-0000-0000-000055120000}"/>
    <cellStyle name="Normal 4 5 5 2 2" xfId="7483" xr:uid="{00000000-0005-0000-0000-000056120000}"/>
    <cellStyle name="Normal 4 5 5 3" xfId="5361" xr:uid="{00000000-0005-0000-0000-000057120000}"/>
    <cellStyle name="Normal 4 5 6" xfId="2178" xr:uid="{00000000-0005-0000-0000-000058120000}"/>
    <cellStyle name="Normal 4 5 6 2" xfId="6424" xr:uid="{00000000-0005-0000-0000-000059120000}"/>
    <cellStyle name="Normal 4 5 7" xfId="4302" xr:uid="{00000000-0005-0000-0000-00005A120000}"/>
    <cellStyle name="Normal 4 6" xfId="142" xr:uid="{00000000-0005-0000-0000-00005B120000}"/>
    <cellStyle name="Normal 4 6 2" xfId="405" xr:uid="{00000000-0005-0000-0000-00005C120000}"/>
    <cellStyle name="Normal 4 6 2 2" xfId="935" xr:uid="{00000000-0005-0000-0000-00005D120000}"/>
    <cellStyle name="Normal 4 6 2 2 2" xfId="1994" xr:uid="{00000000-0005-0000-0000-00005E120000}"/>
    <cellStyle name="Normal 4 6 2 2 2 2" xfId="4116" xr:uid="{00000000-0005-0000-0000-00005F120000}"/>
    <cellStyle name="Normal 4 6 2 2 2 2 2" xfId="8362" xr:uid="{00000000-0005-0000-0000-000060120000}"/>
    <cellStyle name="Normal 4 6 2 2 2 3" xfId="6240" xr:uid="{00000000-0005-0000-0000-000061120000}"/>
    <cellStyle name="Normal 4 6 2 2 3" xfId="3057" xr:uid="{00000000-0005-0000-0000-000062120000}"/>
    <cellStyle name="Normal 4 6 2 2 3 2" xfId="7303" xr:uid="{00000000-0005-0000-0000-000063120000}"/>
    <cellStyle name="Normal 4 6 2 2 4" xfId="5181" xr:uid="{00000000-0005-0000-0000-000064120000}"/>
    <cellStyle name="Normal 4 6 2 3" xfId="1465" xr:uid="{00000000-0005-0000-0000-000065120000}"/>
    <cellStyle name="Normal 4 6 2 3 2" xfId="3587" xr:uid="{00000000-0005-0000-0000-000066120000}"/>
    <cellStyle name="Normal 4 6 2 3 2 2" xfId="7833" xr:uid="{00000000-0005-0000-0000-000067120000}"/>
    <cellStyle name="Normal 4 6 2 3 3" xfId="5711" xr:uid="{00000000-0005-0000-0000-000068120000}"/>
    <cellStyle name="Normal 4 6 2 4" xfId="2528" xr:uid="{00000000-0005-0000-0000-000069120000}"/>
    <cellStyle name="Normal 4 6 2 4 2" xfId="6774" xr:uid="{00000000-0005-0000-0000-00006A120000}"/>
    <cellStyle name="Normal 4 6 2 5" xfId="4652" xr:uid="{00000000-0005-0000-0000-00006B120000}"/>
    <cellStyle name="Normal 4 6 3" xfId="672" xr:uid="{00000000-0005-0000-0000-00006C120000}"/>
    <cellStyle name="Normal 4 6 3 2" xfId="1731" xr:uid="{00000000-0005-0000-0000-00006D120000}"/>
    <cellStyle name="Normal 4 6 3 2 2" xfId="3853" xr:uid="{00000000-0005-0000-0000-00006E120000}"/>
    <cellStyle name="Normal 4 6 3 2 2 2" xfId="8099" xr:uid="{00000000-0005-0000-0000-00006F120000}"/>
    <cellStyle name="Normal 4 6 3 2 3" xfId="5977" xr:uid="{00000000-0005-0000-0000-000070120000}"/>
    <cellStyle name="Normal 4 6 3 3" xfId="2794" xr:uid="{00000000-0005-0000-0000-000071120000}"/>
    <cellStyle name="Normal 4 6 3 3 2" xfId="7040" xr:uid="{00000000-0005-0000-0000-000072120000}"/>
    <cellStyle name="Normal 4 6 3 4" xfId="4918" xr:uid="{00000000-0005-0000-0000-000073120000}"/>
    <cellStyle name="Normal 4 6 4" xfId="1202" xr:uid="{00000000-0005-0000-0000-000074120000}"/>
    <cellStyle name="Normal 4 6 4 2" xfId="3324" xr:uid="{00000000-0005-0000-0000-000075120000}"/>
    <cellStyle name="Normal 4 6 4 2 2" xfId="7570" xr:uid="{00000000-0005-0000-0000-000076120000}"/>
    <cellStyle name="Normal 4 6 4 3" xfId="5448" xr:uid="{00000000-0005-0000-0000-000077120000}"/>
    <cellStyle name="Normal 4 6 5" xfId="2265" xr:uid="{00000000-0005-0000-0000-000078120000}"/>
    <cellStyle name="Normal 4 6 5 2" xfId="6511" xr:uid="{00000000-0005-0000-0000-000079120000}"/>
    <cellStyle name="Normal 4 6 6" xfId="4389" xr:uid="{00000000-0005-0000-0000-00007A120000}"/>
    <cellStyle name="Normal 4 7" xfId="274" xr:uid="{00000000-0005-0000-0000-00007B120000}"/>
    <cellStyle name="Normal 4 7 2" xfId="804" xr:uid="{00000000-0005-0000-0000-00007C120000}"/>
    <cellStyle name="Normal 4 7 2 2" xfId="1863" xr:uid="{00000000-0005-0000-0000-00007D120000}"/>
    <cellStyle name="Normal 4 7 2 2 2" xfId="3985" xr:uid="{00000000-0005-0000-0000-00007E120000}"/>
    <cellStyle name="Normal 4 7 2 2 2 2" xfId="8231" xr:uid="{00000000-0005-0000-0000-00007F120000}"/>
    <cellStyle name="Normal 4 7 2 2 3" xfId="6109" xr:uid="{00000000-0005-0000-0000-000080120000}"/>
    <cellStyle name="Normal 4 7 2 3" xfId="2926" xr:uid="{00000000-0005-0000-0000-000081120000}"/>
    <cellStyle name="Normal 4 7 2 3 2" xfId="7172" xr:uid="{00000000-0005-0000-0000-000082120000}"/>
    <cellStyle name="Normal 4 7 2 4" xfId="5050" xr:uid="{00000000-0005-0000-0000-000083120000}"/>
    <cellStyle name="Normal 4 7 3" xfId="1334" xr:uid="{00000000-0005-0000-0000-000084120000}"/>
    <cellStyle name="Normal 4 7 3 2" xfId="3456" xr:uid="{00000000-0005-0000-0000-000085120000}"/>
    <cellStyle name="Normal 4 7 3 2 2" xfId="7702" xr:uid="{00000000-0005-0000-0000-000086120000}"/>
    <cellStyle name="Normal 4 7 3 3" xfId="5580" xr:uid="{00000000-0005-0000-0000-000087120000}"/>
    <cellStyle name="Normal 4 7 4" xfId="2397" xr:uid="{00000000-0005-0000-0000-000088120000}"/>
    <cellStyle name="Normal 4 7 4 2" xfId="6643" xr:uid="{00000000-0005-0000-0000-000089120000}"/>
    <cellStyle name="Normal 4 7 5" xfId="4521" xr:uid="{00000000-0005-0000-0000-00008A120000}"/>
    <cellStyle name="Normal 4 8" xfId="539" xr:uid="{00000000-0005-0000-0000-00008B120000}"/>
    <cellStyle name="Normal 4 8 2" xfId="1599" xr:uid="{00000000-0005-0000-0000-00008C120000}"/>
    <cellStyle name="Normal 4 8 2 2" xfId="3721" xr:uid="{00000000-0005-0000-0000-00008D120000}"/>
    <cellStyle name="Normal 4 8 2 2 2" xfId="7967" xr:uid="{00000000-0005-0000-0000-00008E120000}"/>
    <cellStyle name="Normal 4 8 2 3" xfId="5845" xr:uid="{00000000-0005-0000-0000-00008F120000}"/>
    <cellStyle name="Normal 4 8 3" xfId="2662" xr:uid="{00000000-0005-0000-0000-000090120000}"/>
    <cellStyle name="Normal 4 8 3 2" xfId="6908" xr:uid="{00000000-0005-0000-0000-000091120000}"/>
    <cellStyle name="Normal 4 8 4" xfId="4786" xr:uid="{00000000-0005-0000-0000-000092120000}"/>
    <cellStyle name="Normal 4 9" xfId="1070" xr:uid="{00000000-0005-0000-0000-000093120000}"/>
    <cellStyle name="Normal 4 9 2" xfId="3192" xr:uid="{00000000-0005-0000-0000-000094120000}"/>
    <cellStyle name="Normal 4 9 2 2" xfId="7438" xr:uid="{00000000-0005-0000-0000-000095120000}"/>
    <cellStyle name="Normal 4 9 3" xfId="5316" xr:uid="{00000000-0005-0000-0000-000096120000}"/>
    <cellStyle name="Normal 40" xfId="8497" xr:uid="{00000000-0005-0000-0000-000097120000}"/>
    <cellStyle name="Normal 40 2" xfId="8570" xr:uid="{00000000-0005-0000-0000-000098120000}"/>
    <cellStyle name="Normal 41" xfId="8507" xr:uid="{00000000-0005-0000-0000-000099120000}"/>
    <cellStyle name="Normal 41 2" xfId="8578" xr:uid="{00000000-0005-0000-0000-00009A120000}"/>
    <cellStyle name="Normal 42" xfId="8535" xr:uid="{00000000-0005-0000-0000-00009B120000}"/>
    <cellStyle name="Normal 43" xfId="8534" xr:uid="{00000000-0005-0000-0000-00009C120000}"/>
    <cellStyle name="Normal 44" xfId="8605" xr:uid="{00000000-0005-0000-0000-00009D120000}"/>
    <cellStyle name="Normal 45" xfId="8610" xr:uid="{00000000-0005-0000-0000-00009E120000}"/>
    <cellStyle name="Normal 46" xfId="8609" xr:uid="{00000000-0005-0000-0000-00009F120000}"/>
    <cellStyle name="Normal 47" xfId="8611" xr:uid="{00000000-0005-0000-0000-0000A0120000}"/>
    <cellStyle name="Normal 48" xfId="8612" xr:uid="{00000000-0005-0000-0000-0000A1120000}"/>
    <cellStyle name="Normal 49" xfId="8613" xr:uid="{00000000-0005-0000-0000-0000A2120000}"/>
    <cellStyle name="Normal 5" xfId="10" xr:uid="{00000000-0005-0000-0000-0000A3120000}"/>
    <cellStyle name="Normal 5 10" xfId="2134" xr:uid="{00000000-0005-0000-0000-0000A4120000}"/>
    <cellStyle name="Normal 5 10 2" xfId="6380" xr:uid="{00000000-0005-0000-0000-0000A5120000}"/>
    <cellStyle name="Normal 5 11" xfId="4258" xr:uid="{00000000-0005-0000-0000-0000A6120000}"/>
    <cellStyle name="Normal 5 2" xfId="22" xr:uid="{00000000-0005-0000-0000-0000A7120000}"/>
    <cellStyle name="Normal 5 2 10" xfId="4270" xr:uid="{00000000-0005-0000-0000-0000A8120000}"/>
    <cellStyle name="Normal 5 2 2" xfId="43" xr:uid="{00000000-0005-0000-0000-0000A9120000}"/>
    <cellStyle name="Normal 5 2 2 2" xfId="129" xr:uid="{00000000-0005-0000-0000-0000AA120000}"/>
    <cellStyle name="Normal 5 2 2 2 2" xfId="260" xr:uid="{00000000-0005-0000-0000-0000AB120000}"/>
    <cellStyle name="Normal 5 2 2 2 2 2" xfId="523" xr:uid="{00000000-0005-0000-0000-0000AC120000}"/>
    <cellStyle name="Normal 5 2 2 2 2 2 2" xfId="1053" xr:uid="{00000000-0005-0000-0000-0000AD120000}"/>
    <cellStyle name="Normal 5 2 2 2 2 2 2 2" xfId="2112" xr:uid="{00000000-0005-0000-0000-0000AE120000}"/>
    <cellStyle name="Normal 5 2 2 2 2 2 2 2 2" xfId="4234" xr:uid="{00000000-0005-0000-0000-0000AF120000}"/>
    <cellStyle name="Normal 5 2 2 2 2 2 2 2 2 2" xfId="8480" xr:uid="{00000000-0005-0000-0000-0000B0120000}"/>
    <cellStyle name="Normal 5 2 2 2 2 2 2 2 3" xfId="6358" xr:uid="{00000000-0005-0000-0000-0000B1120000}"/>
    <cellStyle name="Normal 5 2 2 2 2 2 2 3" xfId="3175" xr:uid="{00000000-0005-0000-0000-0000B2120000}"/>
    <cellStyle name="Normal 5 2 2 2 2 2 2 3 2" xfId="7421" xr:uid="{00000000-0005-0000-0000-0000B3120000}"/>
    <cellStyle name="Normal 5 2 2 2 2 2 2 4" xfId="5299" xr:uid="{00000000-0005-0000-0000-0000B4120000}"/>
    <cellStyle name="Normal 5 2 2 2 2 2 3" xfId="1583" xr:uid="{00000000-0005-0000-0000-0000B5120000}"/>
    <cellStyle name="Normal 5 2 2 2 2 2 3 2" xfId="3705" xr:uid="{00000000-0005-0000-0000-0000B6120000}"/>
    <cellStyle name="Normal 5 2 2 2 2 2 3 2 2" xfId="7951" xr:uid="{00000000-0005-0000-0000-0000B7120000}"/>
    <cellStyle name="Normal 5 2 2 2 2 2 3 3" xfId="5829" xr:uid="{00000000-0005-0000-0000-0000B8120000}"/>
    <cellStyle name="Normal 5 2 2 2 2 2 4" xfId="2646" xr:uid="{00000000-0005-0000-0000-0000B9120000}"/>
    <cellStyle name="Normal 5 2 2 2 2 2 4 2" xfId="6892" xr:uid="{00000000-0005-0000-0000-0000BA120000}"/>
    <cellStyle name="Normal 5 2 2 2 2 2 5" xfId="4770" xr:uid="{00000000-0005-0000-0000-0000BB120000}"/>
    <cellStyle name="Normal 5 2 2 2 2 3" xfId="790" xr:uid="{00000000-0005-0000-0000-0000BC120000}"/>
    <cellStyle name="Normal 5 2 2 2 2 3 2" xfId="1849" xr:uid="{00000000-0005-0000-0000-0000BD120000}"/>
    <cellStyle name="Normal 5 2 2 2 2 3 2 2" xfId="3971" xr:uid="{00000000-0005-0000-0000-0000BE120000}"/>
    <cellStyle name="Normal 5 2 2 2 2 3 2 2 2" xfId="8217" xr:uid="{00000000-0005-0000-0000-0000BF120000}"/>
    <cellStyle name="Normal 5 2 2 2 2 3 2 3" xfId="6095" xr:uid="{00000000-0005-0000-0000-0000C0120000}"/>
    <cellStyle name="Normal 5 2 2 2 2 3 3" xfId="2912" xr:uid="{00000000-0005-0000-0000-0000C1120000}"/>
    <cellStyle name="Normal 5 2 2 2 2 3 3 2" xfId="7158" xr:uid="{00000000-0005-0000-0000-0000C2120000}"/>
    <cellStyle name="Normal 5 2 2 2 2 3 4" xfId="5036" xr:uid="{00000000-0005-0000-0000-0000C3120000}"/>
    <cellStyle name="Normal 5 2 2 2 2 4" xfId="1320" xr:uid="{00000000-0005-0000-0000-0000C4120000}"/>
    <cellStyle name="Normal 5 2 2 2 2 4 2" xfId="3442" xr:uid="{00000000-0005-0000-0000-0000C5120000}"/>
    <cellStyle name="Normal 5 2 2 2 2 4 2 2" xfId="7688" xr:uid="{00000000-0005-0000-0000-0000C6120000}"/>
    <cellStyle name="Normal 5 2 2 2 2 4 3" xfId="5566" xr:uid="{00000000-0005-0000-0000-0000C7120000}"/>
    <cellStyle name="Normal 5 2 2 2 2 5" xfId="2383" xr:uid="{00000000-0005-0000-0000-0000C8120000}"/>
    <cellStyle name="Normal 5 2 2 2 2 5 2" xfId="6629" xr:uid="{00000000-0005-0000-0000-0000C9120000}"/>
    <cellStyle name="Normal 5 2 2 2 2 6" xfId="4507" xr:uid="{00000000-0005-0000-0000-0000CA120000}"/>
    <cellStyle name="Normal 5 2 2 2 3" xfId="392" xr:uid="{00000000-0005-0000-0000-0000CB120000}"/>
    <cellStyle name="Normal 5 2 2 2 3 2" xfId="922" xr:uid="{00000000-0005-0000-0000-0000CC120000}"/>
    <cellStyle name="Normal 5 2 2 2 3 2 2" xfId="1981" xr:uid="{00000000-0005-0000-0000-0000CD120000}"/>
    <cellStyle name="Normal 5 2 2 2 3 2 2 2" xfId="4103" xr:uid="{00000000-0005-0000-0000-0000CE120000}"/>
    <cellStyle name="Normal 5 2 2 2 3 2 2 2 2" xfId="8349" xr:uid="{00000000-0005-0000-0000-0000CF120000}"/>
    <cellStyle name="Normal 5 2 2 2 3 2 2 3" xfId="6227" xr:uid="{00000000-0005-0000-0000-0000D0120000}"/>
    <cellStyle name="Normal 5 2 2 2 3 2 3" xfId="3044" xr:uid="{00000000-0005-0000-0000-0000D1120000}"/>
    <cellStyle name="Normal 5 2 2 2 3 2 3 2" xfId="7290" xr:uid="{00000000-0005-0000-0000-0000D2120000}"/>
    <cellStyle name="Normal 5 2 2 2 3 2 4" xfId="5168" xr:uid="{00000000-0005-0000-0000-0000D3120000}"/>
    <cellStyle name="Normal 5 2 2 2 3 3" xfId="1452" xr:uid="{00000000-0005-0000-0000-0000D4120000}"/>
    <cellStyle name="Normal 5 2 2 2 3 3 2" xfId="3574" xr:uid="{00000000-0005-0000-0000-0000D5120000}"/>
    <cellStyle name="Normal 5 2 2 2 3 3 2 2" xfId="7820" xr:uid="{00000000-0005-0000-0000-0000D6120000}"/>
    <cellStyle name="Normal 5 2 2 2 3 3 3" xfId="5698" xr:uid="{00000000-0005-0000-0000-0000D7120000}"/>
    <cellStyle name="Normal 5 2 2 2 3 4" xfId="2515" xr:uid="{00000000-0005-0000-0000-0000D8120000}"/>
    <cellStyle name="Normal 5 2 2 2 3 4 2" xfId="6761" xr:uid="{00000000-0005-0000-0000-0000D9120000}"/>
    <cellStyle name="Normal 5 2 2 2 3 5" xfId="4639" xr:uid="{00000000-0005-0000-0000-0000DA120000}"/>
    <cellStyle name="Normal 5 2 2 2 4" xfId="659" xr:uid="{00000000-0005-0000-0000-0000DB120000}"/>
    <cellStyle name="Normal 5 2 2 2 4 2" xfId="1718" xr:uid="{00000000-0005-0000-0000-0000DC120000}"/>
    <cellStyle name="Normal 5 2 2 2 4 2 2" xfId="3840" xr:uid="{00000000-0005-0000-0000-0000DD120000}"/>
    <cellStyle name="Normal 5 2 2 2 4 2 2 2" xfId="8086" xr:uid="{00000000-0005-0000-0000-0000DE120000}"/>
    <cellStyle name="Normal 5 2 2 2 4 2 3" xfId="5964" xr:uid="{00000000-0005-0000-0000-0000DF120000}"/>
    <cellStyle name="Normal 5 2 2 2 4 3" xfId="2781" xr:uid="{00000000-0005-0000-0000-0000E0120000}"/>
    <cellStyle name="Normal 5 2 2 2 4 3 2" xfId="7027" xr:uid="{00000000-0005-0000-0000-0000E1120000}"/>
    <cellStyle name="Normal 5 2 2 2 4 4" xfId="4905" xr:uid="{00000000-0005-0000-0000-0000E2120000}"/>
    <cellStyle name="Normal 5 2 2 2 5" xfId="1189" xr:uid="{00000000-0005-0000-0000-0000E3120000}"/>
    <cellStyle name="Normal 5 2 2 2 5 2" xfId="3311" xr:uid="{00000000-0005-0000-0000-0000E4120000}"/>
    <cellStyle name="Normal 5 2 2 2 5 2 2" xfId="7557" xr:uid="{00000000-0005-0000-0000-0000E5120000}"/>
    <cellStyle name="Normal 5 2 2 2 5 3" xfId="5435" xr:uid="{00000000-0005-0000-0000-0000E6120000}"/>
    <cellStyle name="Normal 5 2 2 2 6" xfId="2252" xr:uid="{00000000-0005-0000-0000-0000E7120000}"/>
    <cellStyle name="Normal 5 2 2 2 6 2" xfId="6498" xr:uid="{00000000-0005-0000-0000-0000E8120000}"/>
    <cellStyle name="Normal 5 2 2 2 7" xfId="4376" xr:uid="{00000000-0005-0000-0000-0000E9120000}"/>
    <cellStyle name="Normal 5 2 2 3" xfId="86" xr:uid="{00000000-0005-0000-0000-0000EA120000}"/>
    <cellStyle name="Normal 5 2 2 3 2" xfId="218" xr:uid="{00000000-0005-0000-0000-0000EB120000}"/>
    <cellStyle name="Normal 5 2 2 3 2 2" xfId="481" xr:uid="{00000000-0005-0000-0000-0000EC120000}"/>
    <cellStyle name="Normal 5 2 2 3 2 2 2" xfId="1011" xr:uid="{00000000-0005-0000-0000-0000ED120000}"/>
    <cellStyle name="Normal 5 2 2 3 2 2 2 2" xfId="2070" xr:uid="{00000000-0005-0000-0000-0000EE120000}"/>
    <cellStyle name="Normal 5 2 2 3 2 2 2 2 2" xfId="4192" xr:uid="{00000000-0005-0000-0000-0000EF120000}"/>
    <cellStyle name="Normal 5 2 2 3 2 2 2 2 2 2" xfId="8438" xr:uid="{00000000-0005-0000-0000-0000F0120000}"/>
    <cellStyle name="Normal 5 2 2 3 2 2 2 2 3" xfId="6316" xr:uid="{00000000-0005-0000-0000-0000F1120000}"/>
    <cellStyle name="Normal 5 2 2 3 2 2 2 3" xfId="3133" xr:uid="{00000000-0005-0000-0000-0000F2120000}"/>
    <cellStyle name="Normal 5 2 2 3 2 2 2 3 2" xfId="7379" xr:uid="{00000000-0005-0000-0000-0000F3120000}"/>
    <cellStyle name="Normal 5 2 2 3 2 2 2 4" xfId="5257" xr:uid="{00000000-0005-0000-0000-0000F4120000}"/>
    <cellStyle name="Normal 5 2 2 3 2 2 3" xfId="1541" xr:uid="{00000000-0005-0000-0000-0000F5120000}"/>
    <cellStyle name="Normal 5 2 2 3 2 2 3 2" xfId="3663" xr:uid="{00000000-0005-0000-0000-0000F6120000}"/>
    <cellStyle name="Normal 5 2 2 3 2 2 3 2 2" xfId="7909" xr:uid="{00000000-0005-0000-0000-0000F7120000}"/>
    <cellStyle name="Normal 5 2 2 3 2 2 3 3" xfId="5787" xr:uid="{00000000-0005-0000-0000-0000F8120000}"/>
    <cellStyle name="Normal 5 2 2 3 2 2 4" xfId="2604" xr:uid="{00000000-0005-0000-0000-0000F9120000}"/>
    <cellStyle name="Normal 5 2 2 3 2 2 4 2" xfId="6850" xr:uid="{00000000-0005-0000-0000-0000FA120000}"/>
    <cellStyle name="Normal 5 2 2 3 2 2 5" xfId="4728" xr:uid="{00000000-0005-0000-0000-0000FB120000}"/>
    <cellStyle name="Normal 5 2 2 3 2 3" xfId="748" xr:uid="{00000000-0005-0000-0000-0000FC120000}"/>
    <cellStyle name="Normal 5 2 2 3 2 3 2" xfId="1807" xr:uid="{00000000-0005-0000-0000-0000FD120000}"/>
    <cellStyle name="Normal 5 2 2 3 2 3 2 2" xfId="3929" xr:uid="{00000000-0005-0000-0000-0000FE120000}"/>
    <cellStyle name="Normal 5 2 2 3 2 3 2 2 2" xfId="8175" xr:uid="{00000000-0005-0000-0000-0000FF120000}"/>
    <cellStyle name="Normal 5 2 2 3 2 3 2 3" xfId="6053" xr:uid="{00000000-0005-0000-0000-000000130000}"/>
    <cellStyle name="Normal 5 2 2 3 2 3 3" xfId="2870" xr:uid="{00000000-0005-0000-0000-000001130000}"/>
    <cellStyle name="Normal 5 2 2 3 2 3 3 2" xfId="7116" xr:uid="{00000000-0005-0000-0000-000002130000}"/>
    <cellStyle name="Normal 5 2 2 3 2 3 4" xfId="4994" xr:uid="{00000000-0005-0000-0000-000003130000}"/>
    <cellStyle name="Normal 5 2 2 3 2 4" xfId="1278" xr:uid="{00000000-0005-0000-0000-000004130000}"/>
    <cellStyle name="Normal 5 2 2 3 2 4 2" xfId="3400" xr:uid="{00000000-0005-0000-0000-000005130000}"/>
    <cellStyle name="Normal 5 2 2 3 2 4 2 2" xfId="7646" xr:uid="{00000000-0005-0000-0000-000006130000}"/>
    <cellStyle name="Normal 5 2 2 3 2 4 3" xfId="5524" xr:uid="{00000000-0005-0000-0000-000007130000}"/>
    <cellStyle name="Normal 5 2 2 3 2 5" xfId="2341" xr:uid="{00000000-0005-0000-0000-000008130000}"/>
    <cellStyle name="Normal 5 2 2 3 2 5 2" xfId="6587" xr:uid="{00000000-0005-0000-0000-000009130000}"/>
    <cellStyle name="Normal 5 2 2 3 2 6" xfId="4465" xr:uid="{00000000-0005-0000-0000-00000A130000}"/>
    <cellStyle name="Normal 5 2 2 3 3" xfId="350" xr:uid="{00000000-0005-0000-0000-00000B130000}"/>
    <cellStyle name="Normal 5 2 2 3 3 2" xfId="880" xr:uid="{00000000-0005-0000-0000-00000C130000}"/>
    <cellStyle name="Normal 5 2 2 3 3 2 2" xfId="1939" xr:uid="{00000000-0005-0000-0000-00000D130000}"/>
    <cellStyle name="Normal 5 2 2 3 3 2 2 2" xfId="4061" xr:uid="{00000000-0005-0000-0000-00000E130000}"/>
    <cellStyle name="Normal 5 2 2 3 3 2 2 2 2" xfId="8307" xr:uid="{00000000-0005-0000-0000-00000F130000}"/>
    <cellStyle name="Normal 5 2 2 3 3 2 2 3" xfId="6185" xr:uid="{00000000-0005-0000-0000-000010130000}"/>
    <cellStyle name="Normal 5 2 2 3 3 2 3" xfId="3002" xr:uid="{00000000-0005-0000-0000-000011130000}"/>
    <cellStyle name="Normal 5 2 2 3 3 2 3 2" xfId="7248" xr:uid="{00000000-0005-0000-0000-000012130000}"/>
    <cellStyle name="Normal 5 2 2 3 3 2 4" xfId="5126" xr:uid="{00000000-0005-0000-0000-000013130000}"/>
    <cellStyle name="Normal 5 2 2 3 3 3" xfId="1410" xr:uid="{00000000-0005-0000-0000-000014130000}"/>
    <cellStyle name="Normal 5 2 2 3 3 3 2" xfId="3532" xr:uid="{00000000-0005-0000-0000-000015130000}"/>
    <cellStyle name="Normal 5 2 2 3 3 3 2 2" xfId="7778" xr:uid="{00000000-0005-0000-0000-000016130000}"/>
    <cellStyle name="Normal 5 2 2 3 3 3 3" xfId="5656" xr:uid="{00000000-0005-0000-0000-000017130000}"/>
    <cellStyle name="Normal 5 2 2 3 3 4" xfId="2473" xr:uid="{00000000-0005-0000-0000-000018130000}"/>
    <cellStyle name="Normal 5 2 2 3 3 4 2" xfId="6719" xr:uid="{00000000-0005-0000-0000-000019130000}"/>
    <cellStyle name="Normal 5 2 2 3 3 5" xfId="4597" xr:uid="{00000000-0005-0000-0000-00001A130000}"/>
    <cellStyle name="Normal 5 2 2 3 4" xfId="617" xr:uid="{00000000-0005-0000-0000-00001B130000}"/>
    <cellStyle name="Normal 5 2 2 3 4 2" xfId="1676" xr:uid="{00000000-0005-0000-0000-00001C130000}"/>
    <cellStyle name="Normal 5 2 2 3 4 2 2" xfId="3798" xr:uid="{00000000-0005-0000-0000-00001D130000}"/>
    <cellStyle name="Normal 5 2 2 3 4 2 2 2" xfId="8044" xr:uid="{00000000-0005-0000-0000-00001E130000}"/>
    <cellStyle name="Normal 5 2 2 3 4 2 3" xfId="5922" xr:uid="{00000000-0005-0000-0000-00001F130000}"/>
    <cellStyle name="Normal 5 2 2 3 4 3" xfId="2739" xr:uid="{00000000-0005-0000-0000-000020130000}"/>
    <cellStyle name="Normal 5 2 2 3 4 3 2" xfId="6985" xr:uid="{00000000-0005-0000-0000-000021130000}"/>
    <cellStyle name="Normal 5 2 2 3 4 4" xfId="4863" xr:uid="{00000000-0005-0000-0000-000022130000}"/>
    <cellStyle name="Normal 5 2 2 3 5" xfId="1147" xr:uid="{00000000-0005-0000-0000-000023130000}"/>
    <cellStyle name="Normal 5 2 2 3 5 2" xfId="3269" xr:uid="{00000000-0005-0000-0000-000024130000}"/>
    <cellStyle name="Normal 5 2 2 3 5 2 2" xfId="7515" xr:uid="{00000000-0005-0000-0000-000025130000}"/>
    <cellStyle name="Normal 5 2 2 3 5 3" xfId="5393" xr:uid="{00000000-0005-0000-0000-000026130000}"/>
    <cellStyle name="Normal 5 2 2 3 6" xfId="2210" xr:uid="{00000000-0005-0000-0000-000027130000}"/>
    <cellStyle name="Normal 5 2 2 3 6 2" xfId="6456" xr:uid="{00000000-0005-0000-0000-000028130000}"/>
    <cellStyle name="Normal 5 2 2 3 7" xfId="4334" xr:uid="{00000000-0005-0000-0000-000029130000}"/>
    <cellStyle name="Normal 5 2 2 4" xfId="175" xr:uid="{00000000-0005-0000-0000-00002A130000}"/>
    <cellStyle name="Normal 5 2 2 4 2" xfId="438" xr:uid="{00000000-0005-0000-0000-00002B130000}"/>
    <cellStyle name="Normal 5 2 2 4 2 2" xfId="968" xr:uid="{00000000-0005-0000-0000-00002C130000}"/>
    <cellStyle name="Normal 5 2 2 4 2 2 2" xfId="2027" xr:uid="{00000000-0005-0000-0000-00002D130000}"/>
    <cellStyle name="Normal 5 2 2 4 2 2 2 2" xfId="4149" xr:uid="{00000000-0005-0000-0000-00002E130000}"/>
    <cellStyle name="Normal 5 2 2 4 2 2 2 2 2" xfId="8395" xr:uid="{00000000-0005-0000-0000-00002F130000}"/>
    <cellStyle name="Normal 5 2 2 4 2 2 2 3" xfId="6273" xr:uid="{00000000-0005-0000-0000-000030130000}"/>
    <cellStyle name="Normal 5 2 2 4 2 2 3" xfId="3090" xr:uid="{00000000-0005-0000-0000-000031130000}"/>
    <cellStyle name="Normal 5 2 2 4 2 2 3 2" xfId="7336" xr:uid="{00000000-0005-0000-0000-000032130000}"/>
    <cellStyle name="Normal 5 2 2 4 2 2 4" xfId="5214" xr:uid="{00000000-0005-0000-0000-000033130000}"/>
    <cellStyle name="Normal 5 2 2 4 2 3" xfId="1498" xr:uid="{00000000-0005-0000-0000-000034130000}"/>
    <cellStyle name="Normal 5 2 2 4 2 3 2" xfId="3620" xr:uid="{00000000-0005-0000-0000-000035130000}"/>
    <cellStyle name="Normal 5 2 2 4 2 3 2 2" xfId="7866" xr:uid="{00000000-0005-0000-0000-000036130000}"/>
    <cellStyle name="Normal 5 2 2 4 2 3 3" xfId="5744" xr:uid="{00000000-0005-0000-0000-000037130000}"/>
    <cellStyle name="Normal 5 2 2 4 2 4" xfId="2561" xr:uid="{00000000-0005-0000-0000-000038130000}"/>
    <cellStyle name="Normal 5 2 2 4 2 4 2" xfId="6807" xr:uid="{00000000-0005-0000-0000-000039130000}"/>
    <cellStyle name="Normal 5 2 2 4 2 5" xfId="4685" xr:uid="{00000000-0005-0000-0000-00003A130000}"/>
    <cellStyle name="Normal 5 2 2 4 3" xfId="705" xr:uid="{00000000-0005-0000-0000-00003B130000}"/>
    <cellStyle name="Normal 5 2 2 4 3 2" xfId="1764" xr:uid="{00000000-0005-0000-0000-00003C130000}"/>
    <cellStyle name="Normal 5 2 2 4 3 2 2" xfId="3886" xr:uid="{00000000-0005-0000-0000-00003D130000}"/>
    <cellStyle name="Normal 5 2 2 4 3 2 2 2" xfId="8132" xr:uid="{00000000-0005-0000-0000-00003E130000}"/>
    <cellStyle name="Normal 5 2 2 4 3 2 3" xfId="6010" xr:uid="{00000000-0005-0000-0000-00003F130000}"/>
    <cellStyle name="Normal 5 2 2 4 3 3" xfId="2827" xr:uid="{00000000-0005-0000-0000-000040130000}"/>
    <cellStyle name="Normal 5 2 2 4 3 3 2" xfId="7073" xr:uid="{00000000-0005-0000-0000-000041130000}"/>
    <cellStyle name="Normal 5 2 2 4 3 4" xfId="4951" xr:uid="{00000000-0005-0000-0000-000042130000}"/>
    <cellStyle name="Normal 5 2 2 4 4" xfId="1235" xr:uid="{00000000-0005-0000-0000-000043130000}"/>
    <cellStyle name="Normal 5 2 2 4 4 2" xfId="3357" xr:uid="{00000000-0005-0000-0000-000044130000}"/>
    <cellStyle name="Normal 5 2 2 4 4 2 2" xfId="7603" xr:uid="{00000000-0005-0000-0000-000045130000}"/>
    <cellStyle name="Normal 5 2 2 4 4 3" xfId="5481" xr:uid="{00000000-0005-0000-0000-000046130000}"/>
    <cellStyle name="Normal 5 2 2 4 5" xfId="2298" xr:uid="{00000000-0005-0000-0000-000047130000}"/>
    <cellStyle name="Normal 5 2 2 4 5 2" xfId="6544" xr:uid="{00000000-0005-0000-0000-000048130000}"/>
    <cellStyle name="Normal 5 2 2 4 6" xfId="4422" xr:uid="{00000000-0005-0000-0000-000049130000}"/>
    <cellStyle name="Normal 5 2 2 5" xfId="307" xr:uid="{00000000-0005-0000-0000-00004A130000}"/>
    <cellStyle name="Normal 5 2 2 5 2" xfId="837" xr:uid="{00000000-0005-0000-0000-00004B130000}"/>
    <cellStyle name="Normal 5 2 2 5 2 2" xfId="1896" xr:uid="{00000000-0005-0000-0000-00004C130000}"/>
    <cellStyle name="Normal 5 2 2 5 2 2 2" xfId="4018" xr:uid="{00000000-0005-0000-0000-00004D130000}"/>
    <cellStyle name="Normal 5 2 2 5 2 2 2 2" xfId="8264" xr:uid="{00000000-0005-0000-0000-00004E130000}"/>
    <cellStyle name="Normal 5 2 2 5 2 2 3" xfId="6142" xr:uid="{00000000-0005-0000-0000-00004F130000}"/>
    <cellStyle name="Normal 5 2 2 5 2 3" xfId="2959" xr:uid="{00000000-0005-0000-0000-000050130000}"/>
    <cellStyle name="Normal 5 2 2 5 2 3 2" xfId="7205" xr:uid="{00000000-0005-0000-0000-000051130000}"/>
    <cellStyle name="Normal 5 2 2 5 2 4" xfId="5083" xr:uid="{00000000-0005-0000-0000-000052130000}"/>
    <cellStyle name="Normal 5 2 2 5 3" xfId="1367" xr:uid="{00000000-0005-0000-0000-000053130000}"/>
    <cellStyle name="Normal 5 2 2 5 3 2" xfId="3489" xr:uid="{00000000-0005-0000-0000-000054130000}"/>
    <cellStyle name="Normal 5 2 2 5 3 2 2" xfId="7735" xr:uid="{00000000-0005-0000-0000-000055130000}"/>
    <cellStyle name="Normal 5 2 2 5 3 3" xfId="5613" xr:uid="{00000000-0005-0000-0000-000056130000}"/>
    <cellStyle name="Normal 5 2 2 5 4" xfId="2430" xr:uid="{00000000-0005-0000-0000-000057130000}"/>
    <cellStyle name="Normal 5 2 2 5 4 2" xfId="6676" xr:uid="{00000000-0005-0000-0000-000058130000}"/>
    <cellStyle name="Normal 5 2 2 5 5" xfId="4554" xr:uid="{00000000-0005-0000-0000-000059130000}"/>
    <cellStyle name="Normal 5 2 2 6" xfId="574" xr:uid="{00000000-0005-0000-0000-00005A130000}"/>
    <cellStyle name="Normal 5 2 2 6 2" xfId="1633" xr:uid="{00000000-0005-0000-0000-00005B130000}"/>
    <cellStyle name="Normal 5 2 2 6 2 2" xfId="3755" xr:uid="{00000000-0005-0000-0000-00005C130000}"/>
    <cellStyle name="Normal 5 2 2 6 2 2 2" xfId="8001" xr:uid="{00000000-0005-0000-0000-00005D130000}"/>
    <cellStyle name="Normal 5 2 2 6 2 3" xfId="5879" xr:uid="{00000000-0005-0000-0000-00005E130000}"/>
    <cellStyle name="Normal 5 2 2 6 3" xfId="2696" xr:uid="{00000000-0005-0000-0000-00005F130000}"/>
    <cellStyle name="Normal 5 2 2 6 3 2" xfId="6942" xr:uid="{00000000-0005-0000-0000-000060130000}"/>
    <cellStyle name="Normal 5 2 2 6 4" xfId="4820" xr:uid="{00000000-0005-0000-0000-000061130000}"/>
    <cellStyle name="Normal 5 2 2 7" xfId="1104" xr:uid="{00000000-0005-0000-0000-000062130000}"/>
    <cellStyle name="Normal 5 2 2 7 2" xfId="3226" xr:uid="{00000000-0005-0000-0000-000063130000}"/>
    <cellStyle name="Normal 5 2 2 7 2 2" xfId="7472" xr:uid="{00000000-0005-0000-0000-000064130000}"/>
    <cellStyle name="Normal 5 2 2 7 3" xfId="5350" xr:uid="{00000000-0005-0000-0000-000065130000}"/>
    <cellStyle name="Normal 5 2 2 8" xfId="2167" xr:uid="{00000000-0005-0000-0000-000066130000}"/>
    <cellStyle name="Normal 5 2 2 8 2" xfId="6413" xr:uid="{00000000-0005-0000-0000-000067130000}"/>
    <cellStyle name="Normal 5 2 2 9" xfId="4291" xr:uid="{00000000-0005-0000-0000-000068130000}"/>
    <cellStyle name="Normal 5 2 3" xfId="108" xr:uid="{00000000-0005-0000-0000-000069130000}"/>
    <cellStyle name="Normal 5 2 3 2" xfId="239" xr:uid="{00000000-0005-0000-0000-00006A130000}"/>
    <cellStyle name="Normal 5 2 3 2 2" xfId="502" xr:uid="{00000000-0005-0000-0000-00006B130000}"/>
    <cellStyle name="Normal 5 2 3 2 2 2" xfId="1032" xr:uid="{00000000-0005-0000-0000-00006C130000}"/>
    <cellStyle name="Normal 5 2 3 2 2 2 2" xfId="2091" xr:uid="{00000000-0005-0000-0000-00006D130000}"/>
    <cellStyle name="Normal 5 2 3 2 2 2 2 2" xfId="4213" xr:uid="{00000000-0005-0000-0000-00006E130000}"/>
    <cellStyle name="Normal 5 2 3 2 2 2 2 2 2" xfId="8459" xr:uid="{00000000-0005-0000-0000-00006F130000}"/>
    <cellStyle name="Normal 5 2 3 2 2 2 2 3" xfId="6337" xr:uid="{00000000-0005-0000-0000-000070130000}"/>
    <cellStyle name="Normal 5 2 3 2 2 2 3" xfId="3154" xr:uid="{00000000-0005-0000-0000-000071130000}"/>
    <cellStyle name="Normal 5 2 3 2 2 2 3 2" xfId="7400" xr:uid="{00000000-0005-0000-0000-000072130000}"/>
    <cellStyle name="Normal 5 2 3 2 2 2 4" xfId="5278" xr:uid="{00000000-0005-0000-0000-000073130000}"/>
    <cellStyle name="Normal 5 2 3 2 2 3" xfId="1562" xr:uid="{00000000-0005-0000-0000-000074130000}"/>
    <cellStyle name="Normal 5 2 3 2 2 3 2" xfId="3684" xr:uid="{00000000-0005-0000-0000-000075130000}"/>
    <cellStyle name="Normal 5 2 3 2 2 3 2 2" xfId="7930" xr:uid="{00000000-0005-0000-0000-000076130000}"/>
    <cellStyle name="Normal 5 2 3 2 2 3 3" xfId="5808" xr:uid="{00000000-0005-0000-0000-000077130000}"/>
    <cellStyle name="Normal 5 2 3 2 2 4" xfId="2625" xr:uid="{00000000-0005-0000-0000-000078130000}"/>
    <cellStyle name="Normal 5 2 3 2 2 4 2" xfId="6871" xr:uid="{00000000-0005-0000-0000-000079130000}"/>
    <cellStyle name="Normal 5 2 3 2 2 5" xfId="4749" xr:uid="{00000000-0005-0000-0000-00007A130000}"/>
    <cellStyle name="Normal 5 2 3 2 3" xfId="769" xr:uid="{00000000-0005-0000-0000-00007B130000}"/>
    <cellStyle name="Normal 5 2 3 2 3 2" xfId="1828" xr:uid="{00000000-0005-0000-0000-00007C130000}"/>
    <cellStyle name="Normal 5 2 3 2 3 2 2" xfId="3950" xr:uid="{00000000-0005-0000-0000-00007D130000}"/>
    <cellStyle name="Normal 5 2 3 2 3 2 2 2" xfId="8196" xr:uid="{00000000-0005-0000-0000-00007E130000}"/>
    <cellStyle name="Normal 5 2 3 2 3 2 3" xfId="6074" xr:uid="{00000000-0005-0000-0000-00007F130000}"/>
    <cellStyle name="Normal 5 2 3 2 3 3" xfId="2891" xr:uid="{00000000-0005-0000-0000-000080130000}"/>
    <cellStyle name="Normal 5 2 3 2 3 3 2" xfId="7137" xr:uid="{00000000-0005-0000-0000-000081130000}"/>
    <cellStyle name="Normal 5 2 3 2 3 4" xfId="5015" xr:uid="{00000000-0005-0000-0000-000082130000}"/>
    <cellStyle name="Normal 5 2 3 2 4" xfId="1299" xr:uid="{00000000-0005-0000-0000-000083130000}"/>
    <cellStyle name="Normal 5 2 3 2 4 2" xfId="3421" xr:uid="{00000000-0005-0000-0000-000084130000}"/>
    <cellStyle name="Normal 5 2 3 2 4 2 2" xfId="7667" xr:uid="{00000000-0005-0000-0000-000085130000}"/>
    <cellStyle name="Normal 5 2 3 2 4 3" xfId="5545" xr:uid="{00000000-0005-0000-0000-000086130000}"/>
    <cellStyle name="Normal 5 2 3 2 5" xfId="2362" xr:uid="{00000000-0005-0000-0000-000087130000}"/>
    <cellStyle name="Normal 5 2 3 2 5 2" xfId="6608" xr:uid="{00000000-0005-0000-0000-000088130000}"/>
    <cellStyle name="Normal 5 2 3 2 6" xfId="4486" xr:uid="{00000000-0005-0000-0000-000089130000}"/>
    <cellStyle name="Normal 5 2 3 3" xfId="371" xr:uid="{00000000-0005-0000-0000-00008A130000}"/>
    <cellStyle name="Normal 5 2 3 3 2" xfId="901" xr:uid="{00000000-0005-0000-0000-00008B130000}"/>
    <cellStyle name="Normal 5 2 3 3 2 2" xfId="1960" xr:uid="{00000000-0005-0000-0000-00008C130000}"/>
    <cellStyle name="Normal 5 2 3 3 2 2 2" xfId="4082" xr:uid="{00000000-0005-0000-0000-00008D130000}"/>
    <cellStyle name="Normal 5 2 3 3 2 2 2 2" xfId="8328" xr:uid="{00000000-0005-0000-0000-00008E130000}"/>
    <cellStyle name="Normal 5 2 3 3 2 2 3" xfId="6206" xr:uid="{00000000-0005-0000-0000-00008F130000}"/>
    <cellStyle name="Normal 5 2 3 3 2 3" xfId="3023" xr:uid="{00000000-0005-0000-0000-000090130000}"/>
    <cellStyle name="Normal 5 2 3 3 2 3 2" xfId="7269" xr:uid="{00000000-0005-0000-0000-000091130000}"/>
    <cellStyle name="Normal 5 2 3 3 2 4" xfId="5147" xr:uid="{00000000-0005-0000-0000-000092130000}"/>
    <cellStyle name="Normal 5 2 3 3 3" xfId="1431" xr:uid="{00000000-0005-0000-0000-000093130000}"/>
    <cellStyle name="Normal 5 2 3 3 3 2" xfId="3553" xr:uid="{00000000-0005-0000-0000-000094130000}"/>
    <cellStyle name="Normal 5 2 3 3 3 2 2" xfId="7799" xr:uid="{00000000-0005-0000-0000-000095130000}"/>
    <cellStyle name="Normal 5 2 3 3 3 3" xfId="5677" xr:uid="{00000000-0005-0000-0000-000096130000}"/>
    <cellStyle name="Normal 5 2 3 3 4" xfId="2494" xr:uid="{00000000-0005-0000-0000-000097130000}"/>
    <cellStyle name="Normal 5 2 3 3 4 2" xfId="6740" xr:uid="{00000000-0005-0000-0000-000098130000}"/>
    <cellStyle name="Normal 5 2 3 3 5" xfId="4618" xr:uid="{00000000-0005-0000-0000-000099130000}"/>
    <cellStyle name="Normal 5 2 3 4" xfId="638" xr:uid="{00000000-0005-0000-0000-00009A130000}"/>
    <cellStyle name="Normal 5 2 3 4 2" xfId="1697" xr:uid="{00000000-0005-0000-0000-00009B130000}"/>
    <cellStyle name="Normal 5 2 3 4 2 2" xfId="3819" xr:uid="{00000000-0005-0000-0000-00009C130000}"/>
    <cellStyle name="Normal 5 2 3 4 2 2 2" xfId="8065" xr:uid="{00000000-0005-0000-0000-00009D130000}"/>
    <cellStyle name="Normal 5 2 3 4 2 3" xfId="5943" xr:uid="{00000000-0005-0000-0000-00009E130000}"/>
    <cellStyle name="Normal 5 2 3 4 3" xfId="2760" xr:uid="{00000000-0005-0000-0000-00009F130000}"/>
    <cellStyle name="Normal 5 2 3 4 3 2" xfId="7006" xr:uid="{00000000-0005-0000-0000-0000A0130000}"/>
    <cellStyle name="Normal 5 2 3 4 4" xfId="4884" xr:uid="{00000000-0005-0000-0000-0000A1130000}"/>
    <cellStyle name="Normal 5 2 3 5" xfId="1168" xr:uid="{00000000-0005-0000-0000-0000A2130000}"/>
    <cellStyle name="Normal 5 2 3 5 2" xfId="3290" xr:uid="{00000000-0005-0000-0000-0000A3130000}"/>
    <cellStyle name="Normal 5 2 3 5 2 2" xfId="7536" xr:uid="{00000000-0005-0000-0000-0000A4130000}"/>
    <cellStyle name="Normal 5 2 3 5 3" xfId="5414" xr:uid="{00000000-0005-0000-0000-0000A5130000}"/>
    <cellStyle name="Normal 5 2 3 6" xfId="2231" xr:uid="{00000000-0005-0000-0000-0000A6130000}"/>
    <cellStyle name="Normal 5 2 3 6 2" xfId="6477" xr:uid="{00000000-0005-0000-0000-0000A7130000}"/>
    <cellStyle name="Normal 5 2 3 7" xfId="4355" xr:uid="{00000000-0005-0000-0000-0000A8130000}"/>
    <cellStyle name="Normal 5 2 4" xfId="65" xr:uid="{00000000-0005-0000-0000-0000A9130000}"/>
    <cellStyle name="Normal 5 2 4 2" xfId="197" xr:uid="{00000000-0005-0000-0000-0000AA130000}"/>
    <cellStyle name="Normal 5 2 4 2 2" xfId="460" xr:uid="{00000000-0005-0000-0000-0000AB130000}"/>
    <cellStyle name="Normal 5 2 4 2 2 2" xfId="990" xr:uid="{00000000-0005-0000-0000-0000AC130000}"/>
    <cellStyle name="Normal 5 2 4 2 2 2 2" xfId="2049" xr:uid="{00000000-0005-0000-0000-0000AD130000}"/>
    <cellStyle name="Normal 5 2 4 2 2 2 2 2" xfId="4171" xr:uid="{00000000-0005-0000-0000-0000AE130000}"/>
    <cellStyle name="Normal 5 2 4 2 2 2 2 2 2" xfId="8417" xr:uid="{00000000-0005-0000-0000-0000AF130000}"/>
    <cellStyle name="Normal 5 2 4 2 2 2 2 3" xfId="6295" xr:uid="{00000000-0005-0000-0000-0000B0130000}"/>
    <cellStyle name="Normal 5 2 4 2 2 2 3" xfId="3112" xr:uid="{00000000-0005-0000-0000-0000B1130000}"/>
    <cellStyle name="Normal 5 2 4 2 2 2 3 2" xfId="7358" xr:uid="{00000000-0005-0000-0000-0000B2130000}"/>
    <cellStyle name="Normal 5 2 4 2 2 2 4" xfId="5236" xr:uid="{00000000-0005-0000-0000-0000B3130000}"/>
    <cellStyle name="Normal 5 2 4 2 2 3" xfId="1520" xr:uid="{00000000-0005-0000-0000-0000B4130000}"/>
    <cellStyle name="Normal 5 2 4 2 2 3 2" xfId="3642" xr:uid="{00000000-0005-0000-0000-0000B5130000}"/>
    <cellStyle name="Normal 5 2 4 2 2 3 2 2" xfId="7888" xr:uid="{00000000-0005-0000-0000-0000B6130000}"/>
    <cellStyle name="Normal 5 2 4 2 2 3 3" xfId="5766" xr:uid="{00000000-0005-0000-0000-0000B7130000}"/>
    <cellStyle name="Normal 5 2 4 2 2 4" xfId="2583" xr:uid="{00000000-0005-0000-0000-0000B8130000}"/>
    <cellStyle name="Normal 5 2 4 2 2 4 2" xfId="6829" xr:uid="{00000000-0005-0000-0000-0000B9130000}"/>
    <cellStyle name="Normal 5 2 4 2 2 5" xfId="4707" xr:uid="{00000000-0005-0000-0000-0000BA130000}"/>
    <cellStyle name="Normal 5 2 4 2 3" xfId="727" xr:uid="{00000000-0005-0000-0000-0000BB130000}"/>
    <cellStyle name="Normal 5 2 4 2 3 2" xfId="1786" xr:uid="{00000000-0005-0000-0000-0000BC130000}"/>
    <cellStyle name="Normal 5 2 4 2 3 2 2" xfId="3908" xr:uid="{00000000-0005-0000-0000-0000BD130000}"/>
    <cellStyle name="Normal 5 2 4 2 3 2 2 2" xfId="8154" xr:uid="{00000000-0005-0000-0000-0000BE130000}"/>
    <cellStyle name="Normal 5 2 4 2 3 2 3" xfId="6032" xr:uid="{00000000-0005-0000-0000-0000BF130000}"/>
    <cellStyle name="Normal 5 2 4 2 3 3" xfId="2849" xr:uid="{00000000-0005-0000-0000-0000C0130000}"/>
    <cellStyle name="Normal 5 2 4 2 3 3 2" xfId="7095" xr:uid="{00000000-0005-0000-0000-0000C1130000}"/>
    <cellStyle name="Normal 5 2 4 2 3 4" xfId="4973" xr:uid="{00000000-0005-0000-0000-0000C2130000}"/>
    <cellStyle name="Normal 5 2 4 2 4" xfId="1257" xr:uid="{00000000-0005-0000-0000-0000C3130000}"/>
    <cellStyle name="Normal 5 2 4 2 4 2" xfId="3379" xr:uid="{00000000-0005-0000-0000-0000C4130000}"/>
    <cellStyle name="Normal 5 2 4 2 4 2 2" xfId="7625" xr:uid="{00000000-0005-0000-0000-0000C5130000}"/>
    <cellStyle name="Normal 5 2 4 2 4 3" xfId="5503" xr:uid="{00000000-0005-0000-0000-0000C6130000}"/>
    <cellStyle name="Normal 5 2 4 2 5" xfId="2320" xr:uid="{00000000-0005-0000-0000-0000C7130000}"/>
    <cellStyle name="Normal 5 2 4 2 5 2" xfId="6566" xr:uid="{00000000-0005-0000-0000-0000C8130000}"/>
    <cellStyle name="Normal 5 2 4 2 6" xfId="4444" xr:uid="{00000000-0005-0000-0000-0000C9130000}"/>
    <cellStyle name="Normal 5 2 4 3" xfId="329" xr:uid="{00000000-0005-0000-0000-0000CA130000}"/>
    <cellStyle name="Normal 5 2 4 3 2" xfId="859" xr:uid="{00000000-0005-0000-0000-0000CB130000}"/>
    <cellStyle name="Normal 5 2 4 3 2 2" xfId="1918" xr:uid="{00000000-0005-0000-0000-0000CC130000}"/>
    <cellStyle name="Normal 5 2 4 3 2 2 2" xfId="4040" xr:uid="{00000000-0005-0000-0000-0000CD130000}"/>
    <cellStyle name="Normal 5 2 4 3 2 2 2 2" xfId="8286" xr:uid="{00000000-0005-0000-0000-0000CE130000}"/>
    <cellStyle name="Normal 5 2 4 3 2 2 3" xfId="6164" xr:uid="{00000000-0005-0000-0000-0000CF130000}"/>
    <cellStyle name="Normal 5 2 4 3 2 3" xfId="2981" xr:uid="{00000000-0005-0000-0000-0000D0130000}"/>
    <cellStyle name="Normal 5 2 4 3 2 3 2" xfId="7227" xr:uid="{00000000-0005-0000-0000-0000D1130000}"/>
    <cellStyle name="Normal 5 2 4 3 2 4" xfId="5105" xr:uid="{00000000-0005-0000-0000-0000D2130000}"/>
    <cellStyle name="Normal 5 2 4 3 3" xfId="1389" xr:uid="{00000000-0005-0000-0000-0000D3130000}"/>
    <cellStyle name="Normal 5 2 4 3 3 2" xfId="3511" xr:uid="{00000000-0005-0000-0000-0000D4130000}"/>
    <cellStyle name="Normal 5 2 4 3 3 2 2" xfId="7757" xr:uid="{00000000-0005-0000-0000-0000D5130000}"/>
    <cellStyle name="Normal 5 2 4 3 3 3" xfId="5635" xr:uid="{00000000-0005-0000-0000-0000D6130000}"/>
    <cellStyle name="Normal 5 2 4 3 4" xfId="2452" xr:uid="{00000000-0005-0000-0000-0000D7130000}"/>
    <cellStyle name="Normal 5 2 4 3 4 2" xfId="6698" xr:uid="{00000000-0005-0000-0000-0000D8130000}"/>
    <cellStyle name="Normal 5 2 4 3 5" xfId="4576" xr:uid="{00000000-0005-0000-0000-0000D9130000}"/>
    <cellStyle name="Normal 5 2 4 4" xfId="596" xr:uid="{00000000-0005-0000-0000-0000DA130000}"/>
    <cellStyle name="Normal 5 2 4 4 2" xfId="1655" xr:uid="{00000000-0005-0000-0000-0000DB130000}"/>
    <cellStyle name="Normal 5 2 4 4 2 2" xfId="3777" xr:uid="{00000000-0005-0000-0000-0000DC130000}"/>
    <cellStyle name="Normal 5 2 4 4 2 2 2" xfId="8023" xr:uid="{00000000-0005-0000-0000-0000DD130000}"/>
    <cellStyle name="Normal 5 2 4 4 2 3" xfId="5901" xr:uid="{00000000-0005-0000-0000-0000DE130000}"/>
    <cellStyle name="Normal 5 2 4 4 3" xfId="2718" xr:uid="{00000000-0005-0000-0000-0000DF130000}"/>
    <cellStyle name="Normal 5 2 4 4 3 2" xfId="6964" xr:uid="{00000000-0005-0000-0000-0000E0130000}"/>
    <cellStyle name="Normal 5 2 4 4 4" xfId="4842" xr:uid="{00000000-0005-0000-0000-0000E1130000}"/>
    <cellStyle name="Normal 5 2 4 5" xfId="1126" xr:uid="{00000000-0005-0000-0000-0000E2130000}"/>
    <cellStyle name="Normal 5 2 4 5 2" xfId="3248" xr:uid="{00000000-0005-0000-0000-0000E3130000}"/>
    <cellStyle name="Normal 5 2 4 5 2 2" xfId="7494" xr:uid="{00000000-0005-0000-0000-0000E4130000}"/>
    <cellStyle name="Normal 5 2 4 5 3" xfId="5372" xr:uid="{00000000-0005-0000-0000-0000E5130000}"/>
    <cellStyle name="Normal 5 2 4 6" xfId="2189" xr:uid="{00000000-0005-0000-0000-0000E6130000}"/>
    <cellStyle name="Normal 5 2 4 6 2" xfId="6435" xr:uid="{00000000-0005-0000-0000-0000E7130000}"/>
    <cellStyle name="Normal 5 2 4 7" xfId="4313" xr:uid="{00000000-0005-0000-0000-0000E8130000}"/>
    <cellStyle name="Normal 5 2 5" xfId="154" xr:uid="{00000000-0005-0000-0000-0000E9130000}"/>
    <cellStyle name="Normal 5 2 5 2" xfId="417" xr:uid="{00000000-0005-0000-0000-0000EA130000}"/>
    <cellStyle name="Normal 5 2 5 2 2" xfId="947" xr:uid="{00000000-0005-0000-0000-0000EB130000}"/>
    <cellStyle name="Normal 5 2 5 2 2 2" xfId="2006" xr:uid="{00000000-0005-0000-0000-0000EC130000}"/>
    <cellStyle name="Normal 5 2 5 2 2 2 2" xfId="4128" xr:uid="{00000000-0005-0000-0000-0000ED130000}"/>
    <cellStyle name="Normal 5 2 5 2 2 2 2 2" xfId="8374" xr:uid="{00000000-0005-0000-0000-0000EE130000}"/>
    <cellStyle name="Normal 5 2 5 2 2 2 3" xfId="6252" xr:uid="{00000000-0005-0000-0000-0000EF130000}"/>
    <cellStyle name="Normal 5 2 5 2 2 3" xfId="3069" xr:uid="{00000000-0005-0000-0000-0000F0130000}"/>
    <cellStyle name="Normal 5 2 5 2 2 3 2" xfId="7315" xr:uid="{00000000-0005-0000-0000-0000F1130000}"/>
    <cellStyle name="Normal 5 2 5 2 2 4" xfId="5193" xr:uid="{00000000-0005-0000-0000-0000F2130000}"/>
    <cellStyle name="Normal 5 2 5 2 3" xfId="1477" xr:uid="{00000000-0005-0000-0000-0000F3130000}"/>
    <cellStyle name="Normal 5 2 5 2 3 2" xfId="3599" xr:uid="{00000000-0005-0000-0000-0000F4130000}"/>
    <cellStyle name="Normal 5 2 5 2 3 2 2" xfId="7845" xr:uid="{00000000-0005-0000-0000-0000F5130000}"/>
    <cellStyle name="Normal 5 2 5 2 3 3" xfId="5723" xr:uid="{00000000-0005-0000-0000-0000F6130000}"/>
    <cellStyle name="Normal 5 2 5 2 4" xfId="2540" xr:uid="{00000000-0005-0000-0000-0000F7130000}"/>
    <cellStyle name="Normal 5 2 5 2 4 2" xfId="6786" xr:uid="{00000000-0005-0000-0000-0000F8130000}"/>
    <cellStyle name="Normal 5 2 5 2 5" xfId="4664" xr:uid="{00000000-0005-0000-0000-0000F9130000}"/>
    <cellStyle name="Normal 5 2 5 3" xfId="684" xr:uid="{00000000-0005-0000-0000-0000FA130000}"/>
    <cellStyle name="Normal 5 2 5 3 2" xfId="1743" xr:uid="{00000000-0005-0000-0000-0000FB130000}"/>
    <cellStyle name="Normal 5 2 5 3 2 2" xfId="3865" xr:uid="{00000000-0005-0000-0000-0000FC130000}"/>
    <cellStyle name="Normal 5 2 5 3 2 2 2" xfId="8111" xr:uid="{00000000-0005-0000-0000-0000FD130000}"/>
    <cellStyle name="Normal 5 2 5 3 2 3" xfId="5989" xr:uid="{00000000-0005-0000-0000-0000FE130000}"/>
    <cellStyle name="Normal 5 2 5 3 3" xfId="2806" xr:uid="{00000000-0005-0000-0000-0000FF130000}"/>
    <cellStyle name="Normal 5 2 5 3 3 2" xfId="7052" xr:uid="{00000000-0005-0000-0000-000000140000}"/>
    <cellStyle name="Normal 5 2 5 3 4" xfId="4930" xr:uid="{00000000-0005-0000-0000-000001140000}"/>
    <cellStyle name="Normal 5 2 5 4" xfId="1214" xr:uid="{00000000-0005-0000-0000-000002140000}"/>
    <cellStyle name="Normal 5 2 5 4 2" xfId="3336" xr:uid="{00000000-0005-0000-0000-000003140000}"/>
    <cellStyle name="Normal 5 2 5 4 2 2" xfId="7582" xr:uid="{00000000-0005-0000-0000-000004140000}"/>
    <cellStyle name="Normal 5 2 5 4 3" xfId="5460" xr:uid="{00000000-0005-0000-0000-000005140000}"/>
    <cellStyle name="Normal 5 2 5 5" xfId="2277" xr:uid="{00000000-0005-0000-0000-000006140000}"/>
    <cellStyle name="Normal 5 2 5 5 2" xfId="6523" xr:uid="{00000000-0005-0000-0000-000007140000}"/>
    <cellStyle name="Normal 5 2 5 6" xfId="4401" xr:uid="{00000000-0005-0000-0000-000008140000}"/>
    <cellStyle name="Normal 5 2 6" xfId="286" xr:uid="{00000000-0005-0000-0000-000009140000}"/>
    <cellStyle name="Normal 5 2 6 2" xfId="816" xr:uid="{00000000-0005-0000-0000-00000A140000}"/>
    <cellStyle name="Normal 5 2 6 2 2" xfId="1875" xr:uid="{00000000-0005-0000-0000-00000B140000}"/>
    <cellStyle name="Normal 5 2 6 2 2 2" xfId="3997" xr:uid="{00000000-0005-0000-0000-00000C140000}"/>
    <cellStyle name="Normal 5 2 6 2 2 2 2" xfId="8243" xr:uid="{00000000-0005-0000-0000-00000D140000}"/>
    <cellStyle name="Normal 5 2 6 2 2 3" xfId="6121" xr:uid="{00000000-0005-0000-0000-00000E140000}"/>
    <cellStyle name="Normal 5 2 6 2 3" xfId="2938" xr:uid="{00000000-0005-0000-0000-00000F140000}"/>
    <cellStyle name="Normal 5 2 6 2 3 2" xfId="7184" xr:uid="{00000000-0005-0000-0000-000010140000}"/>
    <cellStyle name="Normal 5 2 6 2 4" xfId="5062" xr:uid="{00000000-0005-0000-0000-000011140000}"/>
    <cellStyle name="Normal 5 2 6 3" xfId="1346" xr:uid="{00000000-0005-0000-0000-000012140000}"/>
    <cellStyle name="Normal 5 2 6 3 2" xfId="3468" xr:uid="{00000000-0005-0000-0000-000013140000}"/>
    <cellStyle name="Normal 5 2 6 3 2 2" xfId="7714" xr:uid="{00000000-0005-0000-0000-000014140000}"/>
    <cellStyle name="Normal 5 2 6 3 3" xfId="5592" xr:uid="{00000000-0005-0000-0000-000015140000}"/>
    <cellStyle name="Normal 5 2 6 4" xfId="2409" xr:uid="{00000000-0005-0000-0000-000016140000}"/>
    <cellStyle name="Normal 5 2 6 4 2" xfId="6655" xr:uid="{00000000-0005-0000-0000-000017140000}"/>
    <cellStyle name="Normal 5 2 6 5" xfId="4533" xr:uid="{00000000-0005-0000-0000-000018140000}"/>
    <cellStyle name="Normal 5 2 7" xfId="553" xr:uid="{00000000-0005-0000-0000-000019140000}"/>
    <cellStyle name="Normal 5 2 7 2" xfId="1612" xr:uid="{00000000-0005-0000-0000-00001A140000}"/>
    <cellStyle name="Normal 5 2 7 2 2" xfId="3734" xr:uid="{00000000-0005-0000-0000-00001B140000}"/>
    <cellStyle name="Normal 5 2 7 2 2 2" xfId="7980" xr:uid="{00000000-0005-0000-0000-00001C140000}"/>
    <cellStyle name="Normal 5 2 7 2 3" xfId="5858" xr:uid="{00000000-0005-0000-0000-00001D140000}"/>
    <cellStyle name="Normal 5 2 7 3" xfId="2675" xr:uid="{00000000-0005-0000-0000-00001E140000}"/>
    <cellStyle name="Normal 5 2 7 3 2" xfId="6921" xr:uid="{00000000-0005-0000-0000-00001F140000}"/>
    <cellStyle name="Normal 5 2 7 4" xfId="4799" xr:uid="{00000000-0005-0000-0000-000020140000}"/>
    <cellStyle name="Normal 5 2 8" xfId="1083" xr:uid="{00000000-0005-0000-0000-000021140000}"/>
    <cellStyle name="Normal 5 2 8 2" xfId="3205" xr:uid="{00000000-0005-0000-0000-000022140000}"/>
    <cellStyle name="Normal 5 2 8 2 2" xfId="7451" xr:uid="{00000000-0005-0000-0000-000023140000}"/>
    <cellStyle name="Normal 5 2 8 3" xfId="5329" xr:uid="{00000000-0005-0000-0000-000024140000}"/>
    <cellStyle name="Normal 5 2 9" xfId="2146" xr:uid="{00000000-0005-0000-0000-000025140000}"/>
    <cellStyle name="Normal 5 2 9 2" xfId="6392" xr:uid="{00000000-0005-0000-0000-000026140000}"/>
    <cellStyle name="Normal 5 3" xfId="32" xr:uid="{00000000-0005-0000-0000-000027140000}"/>
    <cellStyle name="Normal 5 3 2" xfId="118" xr:uid="{00000000-0005-0000-0000-000028140000}"/>
    <cellStyle name="Normal 5 3 2 2" xfId="249" xr:uid="{00000000-0005-0000-0000-000029140000}"/>
    <cellStyle name="Normal 5 3 2 2 2" xfId="512" xr:uid="{00000000-0005-0000-0000-00002A140000}"/>
    <cellStyle name="Normal 5 3 2 2 2 2" xfId="1042" xr:uid="{00000000-0005-0000-0000-00002B140000}"/>
    <cellStyle name="Normal 5 3 2 2 2 2 2" xfId="2101" xr:uid="{00000000-0005-0000-0000-00002C140000}"/>
    <cellStyle name="Normal 5 3 2 2 2 2 2 2" xfId="4223" xr:uid="{00000000-0005-0000-0000-00002D140000}"/>
    <cellStyle name="Normal 5 3 2 2 2 2 2 2 2" xfId="8469" xr:uid="{00000000-0005-0000-0000-00002E140000}"/>
    <cellStyle name="Normal 5 3 2 2 2 2 2 3" xfId="6347" xr:uid="{00000000-0005-0000-0000-00002F140000}"/>
    <cellStyle name="Normal 5 3 2 2 2 2 3" xfId="3164" xr:uid="{00000000-0005-0000-0000-000030140000}"/>
    <cellStyle name="Normal 5 3 2 2 2 2 3 2" xfId="7410" xr:uid="{00000000-0005-0000-0000-000031140000}"/>
    <cellStyle name="Normal 5 3 2 2 2 2 4" xfId="5288" xr:uid="{00000000-0005-0000-0000-000032140000}"/>
    <cellStyle name="Normal 5 3 2 2 2 3" xfId="1572" xr:uid="{00000000-0005-0000-0000-000033140000}"/>
    <cellStyle name="Normal 5 3 2 2 2 3 2" xfId="3694" xr:uid="{00000000-0005-0000-0000-000034140000}"/>
    <cellStyle name="Normal 5 3 2 2 2 3 2 2" xfId="7940" xr:uid="{00000000-0005-0000-0000-000035140000}"/>
    <cellStyle name="Normal 5 3 2 2 2 3 3" xfId="5818" xr:uid="{00000000-0005-0000-0000-000036140000}"/>
    <cellStyle name="Normal 5 3 2 2 2 4" xfId="2635" xr:uid="{00000000-0005-0000-0000-000037140000}"/>
    <cellStyle name="Normal 5 3 2 2 2 4 2" xfId="6881" xr:uid="{00000000-0005-0000-0000-000038140000}"/>
    <cellStyle name="Normal 5 3 2 2 2 5" xfId="4759" xr:uid="{00000000-0005-0000-0000-000039140000}"/>
    <cellStyle name="Normal 5 3 2 2 3" xfId="779" xr:uid="{00000000-0005-0000-0000-00003A140000}"/>
    <cellStyle name="Normal 5 3 2 2 3 2" xfId="1838" xr:uid="{00000000-0005-0000-0000-00003B140000}"/>
    <cellStyle name="Normal 5 3 2 2 3 2 2" xfId="3960" xr:uid="{00000000-0005-0000-0000-00003C140000}"/>
    <cellStyle name="Normal 5 3 2 2 3 2 2 2" xfId="8206" xr:uid="{00000000-0005-0000-0000-00003D140000}"/>
    <cellStyle name="Normal 5 3 2 2 3 2 3" xfId="6084" xr:uid="{00000000-0005-0000-0000-00003E140000}"/>
    <cellStyle name="Normal 5 3 2 2 3 3" xfId="2901" xr:uid="{00000000-0005-0000-0000-00003F140000}"/>
    <cellStyle name="Normal 5 3 2 2 3 3 2" xfId="7147" xr:uid="{00000000-0005-0000-0000-000040140000}"/>
    <cellStyle name="Normal 5 3 2 2 3 4" xfId="5025" xr:uid="{00000000-0005-0000-0000-000041140000}"/>
    <cellStyle name="Normal 5 3 2 2 4" xfId="1309" xr:uid="{00000000-0005-0000-0000-000042140000}"/>
    <cellStyle name="Normal 5 3 2 2 4 2" xfId="3431" xr:uid="{00000000-0005-0000-0000-000043140000}"/>
    <cellStyle name="Normal 5 3 2 2 4 2 2" xfId="7677" xr:uid="{00000000-0005-0000-0000-000044140000}"/>
    <cellStyle name="Normal 5 3 2 2 4 3" xfId="5555" xr:uid="{00000000-0005-0000-0000-000045140000}"/>
    <cellStyle name="Normal 5 3 2 2 5" xfId="2372" xr:uid="{00000000-0005-0000-0000-000046140000}"/>
    <cellStyle name="Normal 5 3 2 2 5 2" xfId="6618" xr:uid="{00000000-0005-0000-0000-000047140000}"/>
    <cellStyle name="Normal 5 3 2 2 6" xfId="4496" xr:uid="{00000000-0005-0000-0000-000048140000}"/>
    <cellStyle name="Normal 5 3 2 3" xfId="381" xr:uid="{00000000-0005-0000-0000-000049140000}"/>
    <cellStyle name="Normal 5 3 2 3 2" xfId="911" xr:uid="{00000000-0005-0000-0000-00004A140000}"/>
    <cellStyle name="Normal 5 3 2 3 2 2" xfId="1970" xr:uid="{00000000-0005-0000-0000-00004B140000}"/>
    <cellStyle name="Normal 5 3 2 3 2 2 2" xfId="4092" xr:uid="{00000000-0005-0000-0000-00004C140000}"/>
    <cellStyle name="Normal 5 3 2 3 2 2 2 2" xfId="8338" xr:uid="{00000000-0005-0000-0000-00004D140000}"/>
    <cellStyle name="Normal 5 3 2 3 2 2 3" xfId="6216" xr:uid="{00000000-0005-0000-0000-00004E140000}"/>
    <cellStyle name="Normal 5 3 2 3 2 3" xfId="3033" xr:uid="{00000000-0005-0000-0000-00004F140000}"/>
    <cellStyle name="Normal 5 3 2 3 2 3 2" xfId="7279" xr:uid="{00000000-0005-0000-0000-000050140000}"/>
    <cellStyle name="Normal 5 3 2 3 2 4" xfId="5157" xr:uid="{00000000-0005-0000-0000-000051140000}"/>
    <cellStyle name="Normal 5 3 2 3 3" xfId="1441" xr:uid="{00000000-0005-0000-0000-000052140000}"/>
    <cellStyle name="Normal 5 3 2 3 3 2" xfId="3563" xr:uid="{00000000-0005-0000-0000-000053140000}"/>
    <cellStyle name="Normal 5 3 2 3 3 2 2" xfId="7809" xr:uid="{00000000-0005-0000-0000-000054140000}"/>
    <cellStyle name="Normal 5 3 2 3 3 3" xfId="5687" xr:uid="{00000000-0005-0000-0000-000055140000}"/>
    <cellStyle name="Normal 5 3 2 3 4" xfId="2504" xr:uid="{00000000-0005-0000-0000-000056140000}"/>
    <cellStyle name="Normal 5 3 2 3 4 2" xfId="6750" xr:uid="{00000000-0005-0000-0000-000057140000}"/>
    <cellStyle name="Normal 5 3 2 3 5" xfId="4628" xr:uid="{00000000-0005-0000-0000-000058140000}"/>
    <cellStyle name="Normal 5 3 2 4" xfId="648" xr:uid="{00000000-0005-0000-0000-000059140000}"/>
    <cellStyle name="Normal 5 3 2 4 2" xfId="1707" xr:uid="{00000000-0005-0000-0000-00005A140000}"/>
    <cellStyle name="Normal 5 3 2 4 2 2" xfId="3829" xr:uid="{00000000-0005-0000-0000-00005B140000}"/>
    <cellStyle name="Normal 5 3 2 4 2 2 2" xfId="8075" xr:uid="{00000000-0005-0000-0000-00005C140000}"/>
    <cellStyle name="Normal 5 3 2 4 2 3" xfId="5953" xr:uid="{00000000-0005-0000-0000-00005D140000}"/>
    <cellStyle name="Normal 5 3 2 4 3" xfId="2770" xr:uid="{00000000-0005-0000-0000-00005E140000}"/>
    <cellStyle name="Normal 5 3 2 4 3 2" xfId="7016" xr:uid="{00000000-0005-0000-0000-00005F140000}"/>
    <cellStyle name="Normal 5 3 2 4 4" xfId="4894" xr:uid="{00000000-0005-0000-0000-000060140000}"/>
    <cellStyle name="Normal 5 3 2 5" xfId="1178" xr:uid="{00000000-0005-0000-0000-000061140000}"/>
    <cellStyle name="Normal 5 3 2 5 2" xfId="3300" xr:uid="{00000000-0005-0000-0000-000062140000}"/>
    <cellStyle name="Normal 5 3 2 5 2 2" xfId="7546" xr:uid="{00000000-0005-0000-0000-000063140000}"/>
    <cellStyle name="Normal 5 3 2 5 3" xfId="5424" xr:uid="{00000000-0005-0000-0000-000064140000}"/>
    <cellStyle name="Normal 5 3 2 6" xfId="2241" xr:uid="{00000000-0005-0000-0000-000065140000}"/>
    <cellStyle name="Normal 5 3 2 6 2" xfId="6487" xr:uid="{00000000-0005-0000-0000-000066140000}"/>
    <cellStyle name="Normal 5 3 2 7" xfId="4365" xr:uid="{00000000-0005-0000-0000-000067140000}"/>
    <cellStyle name="Normal 5 3 3" xfId="75" xr:uid="{00000000-0005-0000-0000-000068140000}"/>
    <cellStyle name="Normal 5 3 3 2" xfId="207" xr:uid="{00000000-0005-0000-0000-000069140000}"/>
    <cellStyle name="Normal 5 3 3 2 2" xfId="470" xr:uid="{00000000-0005-0000-0000-00006A140000}"/>
    <cellStyle name="Normal 5 3 3 2 2 2" xfId="1000" xr:uid="{00000000-0005-0000-0000-00006B140000}"/>
    <cellStyle name="Normal 5 3 3 2 2 2 2" xfId="2059" xr:uid="{00000000-0005-0000-0000-00006C140000}"/>
    <cellStyle name="Normal 5 3 3 2 2 2 2 2" xfId="4181" xr:uid="{00000000-0005-0000-0000-00006D140000}"/>
    <cellStyle name="Normal 5 3 3 2 2 2 2 2 2" xfId="8427" xr:uid="{00000000-0005-0000-0000-00006E140000}"/>
    <cellStyle name="Normal 5 3 3 2 2 2 2 3" xfId="6305" xr:uid="{00000000-0005-0000-0000-00006F140000}"/>
    <cellStyle name="Normal 5 3 3 2 2 2 3" xfId="3122" xr:uid="{00000000-0005-0000-0000-000070140000}"/>
    <cellStyle name="Normal 5 3 3 2 2 2 3 2" xfId="7368" xr:uid="{00000000-0005-0000-0000-000071140000}"/>
    <cellStyle name="Normal 5 3 3 2 2 2 4" xfId="5246" xr:uid="{00000000-0005-0000-0000-000072140000}"/>
    <cellStyle name="Normal 5 3 3 2 2 3" xfId="1530" xr:uid="{00000000-0005-0000-0000-000073140000}"/>
    <cellStyle name="Normal 5 3 3 2 2 3 2" xfId="3652" xr:uid="{00000000-0005-0000-0000-000074140000}"/>
    <cellStyle name="Normal 5 3 3 2 2 3 2 2" xfId="7898" xr:uid="{00000000-0005-0000-0000-000075140000}"/>
    <cellStyle name="Normal 5 3 3 2 2 3 3" xfId="5776" xr:uid="{00000000-0005-0000-0000-000076140000}"/>
    <cellStyle name="Normal 5 3 3 2 2 4" xfId="2593" xr:uid="{00000000-0005-0000-0000-000077140000}"/>
    <cellStyle name="Normal 5 3 3 2 2 4 2" xfId="6839" xr:uid="{00000000-0005-0000-0000-000078140000}"/>
    <cellStyle name="Normal 5 3 3 2 2 5" xfId="4717" xr:uid="{00000000-0005-0000-0000-000079140000}"/>
    <cellStyle name="Normal 5 3 3 2 3" xfId="737" xr:uid="{00000000-0005-0000-0000-00007A140000}"/>
    <cellStyle name="Normal 5 3 3 2 3 2" xfId="1796" xr:uid="{00000000-0005-0000-0000-00007B140000}"/>
    <cellStyle name="Normal 5 3 3 2 3 2 2" xfId="3918" xr:uid="{00000000-0005-0000-0000-00007C140000}"/>
    <cellStyle name="Normal 5 3 3 2 3 2 2 2" xfId="8164" xr:uid="{00000000-0005-0000-0000-00007D140000}"/>
    <cellStyle name="Normal 5 3 3 2 3 2 3" xfId="6042" xr:uid="{00000000-0005-0000-0000-00007E140000}"/>
    <cellStyle name="Normal 5 3 3 2 3 3" xfId="2859" xr:uid="{00000000-0005-0000-0000-00007F140000}"/>
    <cellStyle name="Normal 5 3 3 2 3 3 2" xfId="7105" xr:uid="{00000000-0005-0000-0000-000080140000}"/>
    <cellStyle name="Normal 5 3 3 2 3 4" xfId="4983" xr:uid="{00000000-0005-0000-0000-000081140000}"/>
    <cellStyle name="Normal 5 3 3 2 4" xfId="1267" xr:uid="{00000000-0005-0000-0000-000082140000}"/>
    <cellStyle name="Normal 5 3 3 2 4 2" xfId="3389" xr:uid="{00000000-0005-0000-0000-000083140000}"/>
    <cellStyle name="Normal 5 3 3 2 4 2 2" xfId="7635" xr:uid="{00000000-0005-0000-0000-000084140000}"/>
    <cellStyle name="Normal 5 3 3 2 4 3" xfId="5513" xr:uid="{00000000-0005-0000-0000-000085140000}"/>
    <cellStyle name="Normal 5 3 3 2 5" xfId="2330" xr:uid="{00000000-0005-0000-0000-000086140000}"/>
    <cellStyle name="Normal 5 3 3 2 5 2" xfId="6576" xr:uid="{00000000-0005-0000-0000-000087140000}"/>
    <cellStyle name="Normal 5 3 3 2 6" xfId="4454" xr:uid="{00000000-0005-0000-0000-000088140000}"/>
    <cellStyle name="Normal 5 3 3 3" xfId="339" xr:uid="{00000000-0005-0000-0000-000089140000}"/>
    <cellStyle name="Normal 5 3 3 3 2" xfId="869" xr:uid="{00000000-0005-0000-0000-00008A140000}"/>
    <cellStyle name="Normal 5 3 3 3 2 2" xfId="1928" xr:uid="{00000000-0005-0000-0000-00008B140000}"/>
    <cellStyle name="Normal 5 3 3 3 2 2 2" xfId="4050" xr:uid="{00000000-0005-0000-0000-00008C140000}"/>
    <cellStyle name="Normal 5 3 3 3 2 2 2 2" xfId="8296" xr:uid="{00000000-0005-0000-0000-00008D140000}"/>
    <cellStyle name="Normal 5 3 3 3 2 2 3" xfId="6174" xr:uid="{00000000-0005-0000-0000-00008E140000}"/>
    <cellStyle name="Normal 5 3 3 3 2 3" xfId="2991" xr:uid="{00000000-0005-0000-0000-00008F140000}"/>
    <cellStyle name="Normal 5 3 3 3 2 3 2" xfId="7237" xr:uid="{00000000-0005-0000-0000-000090140000}"/>
    <cellStyle name="Normal 5 3 3 3 2 4" xfId="5115" xr:uid="{00000000-0005-0000-0000-000091140000}"/>
    <cellStyle name="Normal 5 3 3 3 3" xfId="1399" xr:uid="{00000000-0005-0000-0000-000092140000}"/>
    <cellStyle name="Normal 5 3 3 3 3 2" xfId="3521" xr:uid="{00000000-0005-0000-0000-000093140000}"/>
    <cellStyle name="Normal 5 3 3 3 3 2 2" xfId="7767" xr:uid="{00000000-0005-0000-0000-000094140000}"/>
    <cellStyle name="Normal 5 3 3 3 3 3" xfId="5645" xr:uid="{00000000-0005-0000-0000-000095140000}"/>
    <cellStyle name="Normal 5 3 3 3 4" xfId="2462" xr:uid="{00000000-0005-0000-0000-000096140000}"/>
    <cellStyle name="Normal 5 3 3 3 4 2" xfId="6708" xr:uid="{00000000-0005-0000-0000-000097140000}"/>
    <cellStyle name="Normal 5 3 3 3 5" xfId="4586" xr:uid="{00000000-0005-0000-0000-000098140000}"/>
    <cellStyle name="Normal 5 3 3 4" xfId="606" xr:uid="{00000000-0005-0000-0000-000099140000}"/>
    <cellStyle name="Normal 5 3 3 4 2" xfId="1665" xr:uid="{00000000-0005-0000-0000-00009A140000}"/>
    <cellStyle name="Normal 5 3 3 4 2 2" xfId="3787" xr:uid="{00000000-0005-0000-0000-00009B140000}"/>
    <cellStyle name="Normal 5 3 3 4 2 2 2" xfId="8033" xr:uid="{00000000-0005-0000-0000-00009C140000}"/>
    <cellStyle name="Normal 5 3 3 4 2 3" xfId="5911" xr:uid="{00000000-0005-0000-0000-00009D140000}"/>
    <cellStyle name="Normal 5 3 3 4 3" xfId="2728" xr:uid="{00000000-0005-0000-0000-00009E140000}"/>
    <cellStyle name="Normal 5 3 3 4 3 2" xfId="6974" xr:uid="{00000000-0005-0000-0000-00009F140000}"/>
    <cellStyle name="Normal 5 3 3 4 4" xfId="4852" xr:uid="{00000000-0005-0000-0000-0000A0140000}"/>
    <cellStyle name="Normal 5 3 3 5" xfId="1136" xr:uid="{00000000-0005-0000-0000-0000A1140000}"/>
    <cellStyle name="Normal 5 3 3 5 2" xfId="3258" xr:uid="{00000000-0005-0000-0000-0000A2140000}"/>
    <cellStyle name="Normal 5 3 3 5 2 2" xfId="7504" xr:uid="{00000000-0005-0000-0000-0000A3140000}"/>
    <cellStyle name="Normal 5 3 3 5 3" xfId="5382" xr:uid="{00000000-0005-0000-0000-0000A4140000}"/>
    <cellStyle name="Normal 5 3 3 6" xfId="2199" xr:uid="{00000000-0005-0000-0000-0000A5140000}"/>
    <cellStyle name="Normal 5 3 3 6 2" xfId="6445" xr:uid="{00000000-0005-0000-0000-0000A6140000}"/>
    <cellStyle name="Normal 5 3 3 7" xfId="4323" xr:uid="{00000000-0005-0000-0000-0000A7140000}"/>
    <cellStyle name="Normal 5 3 4" xfId="164" xr:uid="{00000000-0005-0000-0000-0000A8140000}"/>
    <cellStyle name="Normal 5 3 4 2" xfId="427" xr:uid="{00000000-0005-0000-0000-0000A9140000}"/>
    <cellStyle name="Normal 5 3 4 2 2" xfId="957" xr:uid="{00000000-0005-0000-0000-0000AA140000}"/>
    <cellStyle name="Normal 5 3 4 2 2 2" xfId="2016" xr:uid="{00000000-0005-0000-0000-0000AB140000}"/>
    <cellStyle name="Normal 5 3 4 2 2 2 2" xfId="4138" xr:uid="{00000000-0005-0000-0000-0000AC140000}"/>
    <cellStyle name="Normal 5 3 4 2 2 2 2 2" xfId="8384" xr:uid="{00000000-0005-0000-0000-0000AD140000}"/>
    <cellStyle name="Normal 5 3 4 2 2 2 3" xfId="6262" xr:uid="{00000000-0005-0000-0000-0000AE140000}"/>
    <cellStyle name="Normal 5 3 4 2 2 3" xfId="3079" xr:uid="{00000000-0005-0000-0000-0000AF140000}"/>
    <cellStyle name="Normal 5 3 4 2 2 3 2" xfId="7325" xr:uid="{00000000-0005-0000-0000-0000B0140000}"/>
    <cellStyle name="Normal 5 3 4 2 2 4" xfId="5203" xr:uid="{00000000-0005-0000-0000-0000B1140000}"/>
    <cellStyle name="Normal 5 3 4 2 3" xfId="1487" xr:uid="{00000000-0005-0000-0000-0000B2140000}"/>
    <cellStyle name="Normal 5 3 4 2 3 2" xfId="3609" xr:uid="{00000000-0005-0000-0000-0000B3140000}"/>
    <cellStyle name="Normal 5 3 4 2 3 2 2" xfId="7855" xr:uid="{00000000-0005-0000-0000-0000B4140000}"/>
    <cellStyle name="Normal 5 3 4 2 3 3" xfId="5733" xr:uid="{00000000-0005-0000-0000-0000B5140000}"/>
    <cellStyle name="Normal 5 3 4 2 4" xfId="2550" xr:uid="{00000000-0005-0000-0000-0000B6140000}"/>
    <cellStyle name="Normal 5 3 4 2 4 2" xfId="6796" xr:uid="{00000000-0005-0000-0000-0000B7140000}"/>
    <cellStyle name="Normal 5 3 4 2 5" xfId="4674" xr:uid="{00000000-0005-0000-0000-0000B8140000}"/>
    <cellStyle name="Normal 5 3 4 3" xfId="694" xr:uid="{00000000-0005-0000-0000-0000B9140000}"/>
    <cellStyle name="Normal 5 3 4 3 2" xfId="1753" xr:uid="{00000000-0005-0000-0000-0000BA140000}"/>
    <cellStyle name="Normal 5 3 4 3 2 2" xfId="3875" xr:uid="{00000000-0005-0000-0000-0000BB140000}"/>
    <cellStyle name="Normal 5 3 4 3 2 2 2" xfId="8121" xr:uid="{00000000-0005-0000-0000-0000BC140000}"/>
    <cellStyle name="Normal 5 3 4 3 2 3" xfId="5999" xr:uid="{00000000-0005-0000-0000-0000BD140000}"/>
    <cellStyle name="Normal 5 3 4 3 3" xfId="2816" xr:uid="{00000000-0005-0000-0000-0000BE140000}"/>
    <cellStyle name="Normal 5 3 4 3 3 2" xfId="7062" xr:uid="{00000000-0005-0000-0000-0000BF140000}"/>
    <cellStyle name="Normal 5 3 4 3 4" xfId="4940" xr:uid="{00000000-0005-0000-0000-0000C0140000}"/>
    <cellStyle name="Normal 5 3 4 4" xfId="1224" xr:uid="{00000000-0005-0000-0000-0000C1140000}"/>
    <cellStyle name="Normal 5 3 4 4 2" xfId="3346" xr:uid="{00000000-0005-0000-0000-0000C2140000}"/>
    <cellStyle name="Normal 5 3 4 4 2 2" xfId="7592" xr:uid="{00000000-0005-0000-0000-0000C3140000}"/>
    <cellStyle name="Normal 5 3 4 4 3" xfId="5470" xr:uid="{00000000-0005-0000-0000-0000C4140000}"/>
    <cellStyle name="Normal 5 3 4 5" xfId="2287" xr:uid="{00000000-0005-0000-0000-0000C5140000}"/>
    <cellStyle name="Normal 5 3 4 5 2" xfId="6533" xr:uid="{00000000-0005-0000-0000-0000C6140000}"/>
    <cellStyle name="Normal 5 3 4 6" xfId="4411" xr:uid="{00000000-0005-0000-0000-0000C7140000}"/>
    <cellStyle name="Normal 5 3 5" xfId="296" xr:uid="{00000000-0005-0000-0000-0000C8140000}"/>
    <cellStyle name="Normal 5 3 5 2" xfId="826" xr:uid="{00000000-0005-0000-0000-0000C9140000}"/>
    <cellStyle name="Normal 5 3 5 2 2" xfId="1885" xr:uid="{00000000-0005-0000-0000-0000CA140000}"/>
    <cellStyle name="Normal 5 3 5 2 2 2" xfId="4007" xr:uid="{00000000-0005-0000-0000-0000CB140000}"/>
    <cellStyle name="Normal 5 3 5 2 2 2 2" xfId="8253" xr:uid="{00000000-0005-0000-0000-0000CC140000}"/>
    <cellStyle name="Normal 5 3 5 2 2 3" xfId="6131" xr:uid="{00000000-0005-0000-0000-0000CD140000}"/>
    <cellStyle name="Normal 5 3 5 2 3" xfId="2948" xr:uid="{00000000-0005-0000-0000-0000CE140000}"/>
    <cellStyle name="Normal 5 3 5 2 3 2" xfId="7194" xr:uid="{00000000-0005-0000-0000-0000CF140000}"/>
    <cellStyle name="Normal 5 3 5 2 4" xfId="5072" xr:uid="{00000000-0005-0000-0000-0000D0140000}"/>
    <cellStyle name="Normal 5 3 5 3" xfId="1356" xr:uid="{00000000-0005-0000-0000-0000D1140000}"/>
    <cellStyle name="Normal 5 3 5 3 2" xfId="3478" xr:uid="{00000000-0005-0000-0000-0000D2140000}"/>
    <cellStyle name="Normal 5 3 5 3 2 2" xfId="7724" xr:uid="{00000000-0005-0000-0000-0000D3140000}"/>
    <cellStyle name="Normal 5 3 5 3 3" xfId="5602" xr:uid="{00000000-0005-0000-0000-0000D4140000}"/>
    <cellStyle name="Normal 5 3 5 4" xfId="2419" xr:uid="{00000000-0005-0000-0000-0000D5140000}"/>
    <cellStyle name="Normal 5 3 5 4 2" xfId="6665" xr:uid="{00000000-0005-0000-0000-0000D6140000}"/>
    <cellStyle name="Normal 5 3 5 5" xfId="4543" xr:uid="{00000000-0005-0000-0000-0000D7140000}"/>
    <cellStyle name="Normal 5 3 6" xfId="563" xr:uid="{00000000-0005-0000-0000-0000D8140000}"/>
    <cellStyle name="Normal 5 3 6 2" xfId="1622" xr:uid="{00000000-0005-0000-0000-0000D9140000}"/>
    <cellStyle name="Normal 5 3 6 2 2" xfId="3744" xr:uid="{00000000-0005-0000-0000-0000DA140000}"/>
    <cellStyle name="Normal 5 3 6 2 2 2" xfId="7990" xr:uid="{00000000-0005-0000-0000-0000DB140000}"/>
    <cellStyle name="Normal 5 3 6 2 3" xfId="5868" xr:uid="{00000000-0005-0000-0000-0000DC140000}"/>
    <cellStyle name="Normal 5 3 6 3" xfId="2685" xr:uid="{00000000-0005-0000-0000-0000DD140000}"/>
    <cellStyle name="Normal 5 3 6 3 2" xfId="6931" xr:uid="{00000000-0005-0000-0000-0000DE140000}"/>
    <cellStyle name="Normal 5 3 6 4" xfId="4809" xr:uid="{00000000-0005-0000-0000-0000DF140000}"/>
    <cellStyle name="Normal 5 3 7" xfId="1093" xr:uid="{00000000-0005-0000-0000-0000E0140000}"/>
    <cellStyle name="Normal 5 3 7 2" xfId="3215" xr:uid="{00000000-0005-0000-0000-0000E1140000}"/>
    <cellStyle name="Normal 5 3 7 2 2" xfId="7461" xr:uid="{00000000-0005-0000-0000-0000E2140000}"/>
    <cellStyle name="Normal 5 3 7 3" xfId="5339" xr:uid="{00000000-0005-0000-0000-0000E3140000}"/>
    <cellStyle name="Normal 5 3 8" xfId="2156" xr:uid="{00000000-0005-0000-0000-0000E4140000}"/>
    <cellStyle name="Normal 5 3 8 2" xfId="6402" xr:uid="{00000000-0005-0000-0000-0000E5140000}"/>
    <cellStyle name="Normal 5 3 9" xfId="4280" xr:uid="{00000000-0005-0000-0000-0000E6140000}"/>
    <cellStyle name="Normal 5 4" xfId="98" xr:uid="{00000000-0005-0000-0000-0000E7140000}"/>
    <cellStyle name="Normal 5 4 2" xfId="229" xr:uid="{00000000-0005-0000-0000-0000E8140000}"/>
    <cellStyle name="Normal 5 4 2 2" xfId="492" xr:uid="{00000000-0005-0000-0000-0000E9140000}"/>
    <cellStyle name="Normal 5 4 2 2 2" xfId="1022" xr:uid="{00000000-0005-0000-0000-0000EA140000}"/>
    <cellStyle name="Normal 5 4 2 2 2 2" xfId="2081" xr:uid="{00000000-0005-0000-0000-0000EB140000}"/>
    <cellStyle name="Normal 5 4 2 2 2 2 2" xfId="4203" xr:uid="{00000000-0005-0000-0000-0000EC140000}"/>
    <cellStyle name="Normal 5 4 2 2 2 2 2 2" xfId="8449" xr:uid="{00000000-0005-0000-0000-0000ED140000}"/>
    <cellStyle name="Normal 5 4 2 2 2 2 3" xfId="6327" xr:uid="{00000000-0005-0000-0000-0000EE140000}"/>
    <cellStyle name="Normal 5 4 2 2 2 3" xfId="3144" xr:uid="{00000000-0005-0000-0000-0000EF140000}"/>
    <cellStyle name="Normal 5 4 2 2 2 3 2" xfId="7390" xr:uid="{00000000-0005-0000-0000-0000F0140000}"/>
    <cellStyle name="Normal 5 4 2 2 2 4" xfId="5268" xr:uid="{00000000-0005-0000-0000-0000F1140000}"/>
    <cellStyle name="Normal 5 4 2 2 3" xfId="1552" xr:uid="{00000000-0005-0000-0000-0000F2140000}"/>
    <cellStyle name="Normal 5 4 2 2 3 2" xfId="3674" xr:uid="{00000000-0005-0000-0000-0000F3140000}"/>
    <cellStyle name="Normal 5 4 2 2 3 2 2" xfId="7920" xr:uid="{00000000-0005-0000-0000-0000F4140000}"/>
    <cellStyle name="Normal 5 4 2 2 3 3" xfId="5798" xr:uid="{00000000-0005-0000-0000-0000F5140000}"/>
    <cellStyle name="Normal 5 4 2 2 4" xfId="2615" xr:uid="{00000000-0005-0000-0000-0000F6140000}"/>
    <cellStyle name="Normal 5 4 2 2 4 2" xfId="6861" xr:uid="{00000000-0005-0000-0000-0000F7140000}"/>
    <cellStyle name="Normal 5 4 2 2 5" xfId="4739" xr:uid="{00000000-0005-0000-0000-0000F8140000}"/>
    <cellStyle name="Normal 5 4 2 3" xfId="759" xr:uid="{00000000-0005-0000-0000-0000F9140000}"/>
    <cellStyle name="Normal 5 4 2 3 2" xfId="1818" xr:uid="{00000000-0005-0000-0000-0000FA140000}"/>
    <cellStyle name="Normal 5 4 2 3 2 2" xfId="3940" xr:uid="{00000000-0005-0000-0000-0000FB140000}"/>
    <cellStyle name="Normal 5 4 2 3 2 2 2" xfId="8186" xr:uid="{00000000-0005-0000-0000-0000FC140000}"/>
    <cellStyle name="Normal 5 4 2 3 2 3" xfId="6064" xr:uid="{00000000-0005-0000-0000-0000FD140000}"/>
    <cellStyle name="Normal 5 4 2 3 3" xfId="2881" xr:uid="{00000000-0005-0000-0000-0000FE140000}"/>
    <cellStyle name="Normal 5 4 2 3 3 2" xfId="7127" xr:uid="{00000000-0005-0000-0000-0000FF140000}"/>
    <cellStyle name="Normal 5 4 2 3 4" xfId="5005" xr:uid="{00000000-0005-0000-0000-000000150000}"/>
    <cellStyle name="Normal 5 4 2 4" xfId="1289" xr:uid="{00000000-0005-0000-0000-000001150000}"/>
    <cellStyle name="Normal 5 4 2 4 2" xfId="3411" xr:uid="{00000000-0005-0000-0000-000002150000}"/>
    <cellStyle name="Normal 5 4 2 4 2 2" xfId="7657" xr:uid="{00000000-0005-0000-0000-000003150000}"/>
    <cellStyle name="Normal 5 4 2 4 3" xfId="5535" xr:uid="{00000000-0005-0000-0000-000004150000}"/>
    <cellStyle name="Normal 5 4 2 5" xfId="2352" xr:uid="{00000000-0005-0000-0000-000005150000}"/>
    <cellStyle name="Normal 5 4 2 5 2" xfId="6598" xr:uid="{00000000-0005-0000-0000-000006150000}"/>
    <cellStyle name="Normal 5 4 2 6" xfId="4476" xr:uid="{00000000-0005-0000-0000-000007150000}"/>
    <cellStyle name="Normal 5 4 3" xfId="361" xr:uid="{00000000-0005-0000-0000-000008150000}"/>
    <cellStyle name="Normal 5 4 3 2" xfId="891" xr:uid="{00000000-0005-0000-0000-000009150000}"/>
    <cellStyle name="Normal 5 4 3 2 2" xfId="1950" xr:uid="{00000000-0005-0000-0000-00000A150000}"/>
    <cellStyle name="Normal 5 4 3 2 2 2" xfId="4072" xr:uid="{00000000-0005-0000-0000-00000B150000}"/>
    <cellStyle name="Normal 5 4 3 2 2 2 2" xfId="8318" xr:uid="{00000000-0005-0000-0000-00000C150000}"/>
    <cellStyle name="Normal 5 4 3 2 2 3" xfId="6196" xr:uid="{00000000-0005-0000-0000-00000D150000}"/>
    <cellStyle name="Normal 5 4 3 2 3" xfId="3013" xr:uid="{00000000-0005-0000-0000-00000E150000}"/>
    <cellStyle name="Normal 5 4 3 2 3 2" xfId="7259" xr:uid="{00000000-0005-0000-0000-00000F150000}"/>
    <cellStyle name="Normal 5 4 3 2 4" xfId="5137" xr:uid="{00000000-0005-0000-0000-000010150000}"/>
    <cellStyle name="Normal 5 4 3 3" xfId="1421" xr:uid="{00000000-0005-0000-0000-000011150000}"/>
    <cellStyle name="Normal 5 4 3 3 2" xfId="3543" xr:uid="{00000000-0005-0000-0000-000012150000}"/>
    <cellStyle name="Normal 5 4 3 3 2 2" xfId="7789" xr:uid="{00000000-0005-0000-0000-000013150000}"/>
    <cellStyle name="Normal 5 4 3 3 3" xfId="5667" xr:uid="{00000000-0005-0000-0000-000014150000}"/>
    <cellStyle name="Normal 5 4 3 4" xfId="2484" xr:uid="{00000000-0005-0000-0000-000015150000}"/>
    <cellStyle name="Normal 5 4 3 4 2" xfId="6730" xr:uid="{00000000-0005-0000-0000-000016150000}"/>
    <cellStyle name="Normal 5 4 3 5" xfId="4608" xr:uid="{00000000-0005-0000-0000-000017150000}"/>
    <cellStyle name="Normal 5 4 4" xfId="628" xr:uid="{00000000-0005-0000-0000-000018150000}"/>
    <cellStyle name="Normal 5 4 4 2" xfId="1687" xr:uid="{00000000-0005-0000-0000-000019150000}"/>
    <cellStyle name="Normal 5 4 4 2 2" xfId="3809" xr:uid="{00000000-0005-0000-0000-00001A150000}"/>
    <cellStyle name="Normal 5 4 4 2 2 2" xfId="8055" xr:uid="{00000000-0005-0000-0000-00001B150000}"/>
    <cellStyle name="Normal 5 4 4 2 3" xfId="5933" xr:uid="{00000000-0005-0000-0000-00001C150000}"/>
    <cellStyle name="Normal 5 4 4 3" xfId="2750" xr:uid="{00000000-0005-0000-0000-00001D150000}"/>
    <cellStyle name="Normal 5 4 4 3 2" xfId="6996" xr:uid="{00000000-0005-0000-0000-00001E150000}"/>
    <cellStyle name="Normal 5 4 4 4" xfId="4874" xr:uid="{00000000-0005-0000-0000-00001F150000}"/>
    <cellStyle name="Normal 5 4 5" xfId="1158" xr:uid="{00000000-0005-0000-0000-000020150000}"/>
    <cellStyle name="Normal 5 4 5 2" xfId="3280" xr:uid="{00000000-0005-0000-0000-000021150000}"/>
    <cellStyle name="Normal 5 4 5 2 2" xfId="7526" xr:uid="{00000000-0005-0000-0000-000022150000}"/>
    <cellStyle name="Normal 5 4 5 3" xfId="5404" xr:uid="{00000000-0005-0000-0000-000023150000}"/>
    <cellStyle name="Normal 5 4 6" xfId="2221" xr:uid="{00000000-0005-0000-0000-000024150000}"/>
    <cellStyle name="Normal 5 4 6 2" xfId="6467" xr:uid="{00000000-0005-0000-0000-000025150000}"/>
    <cellStyle name="Normal 5 4 7" xfId="4345" xr:uid="{00000000-0005-0000-0000-000026150000}"/>
    <cellStyle name="Normal 5 5" xfId="55" xr:uid="{00000000-0005-0000-0000-000027150000}"/>
    <cellStyle name="Normal 5 5 2" xfId="187" xr:uid="{00000000-0005-0000-0000-000028150000}"/>
    <cellStyle name="Normal 5 5 2 2" xfId="450" xr:uid="{00000000-0005-0000-0000-000029150000}"/>
    <cellStyle name="Normal 5 5 2 2 2" xfId="980" xr:uid="{00000000-0005-0000-0000-00002A150000}"/>
    <cellStyle name="Normal 5 5 2 2 2 2" xfId="2039" xr:uid="{00000000-0005-0000-0000-00002B150000}"/>
    <cellStyle name="Normal 5 5 2 2 2 2 2" xfId="4161" xr:uid="{00000000-0005-0000-0000-00002C150000}"/>
    <cellStyle name="Normal 5 5 2 2 2 2 2 2" xfId="8407" xr:uid="{00000000-0005-0000-0000-00002D150000}"/>
    <cellStyle name="Normal 5 5 2 2 2 2 3" xfId="6285" xr:uid="{00000000-0005-0000-0000-00002E150000}"/>
    <cellStyle name="Normal 5 5 2 2 2 3" xfId="3102" xr:uid="{00000000-0005-0000-0000-00002F150000}"/>
    <cellStyle name="Normal 5 5 2 2 2 3 2" xfId="7348" xr:uid="{00000000-0005-0000-0000-000030150000}"/>
    <cellStyle name="Normal 5 5 2 2 2 4" xfId="5226" xr:uid="{00000000-0005-0000-0000-000031150000}"/>
    <cellStyle name="Normal 5 5 2 2 3" xfId="1510" xr:uid="{00000000-0005-0000-0000-000032150000}"/>
    <cellStyle name="Normal 5 5 2 2 3 2" xfId="3632" xr:uid="{00000000-0005-0000-0000-000033150000}"/>
    <cellStyle name="Normal 5 5 2 2 3 2 2" xfId="7878" xr:uid="{00000000-0005-0000-0000-000034150000}"/>
    <cellStyle name="Normal 5 5 2 2 3 3" xfId="5756" xr:uid="{00000000-0005-0000-0000-000035150000}"/>
    <cellStyle name="Normal 5 5 2 2 4" xfId="2573" xr:uid="{00000000-0005-0000-0000-000036150000}"/>
    <cellStyle name="Normal 5 5 2 2 4 2" xfId="6819" xr:uid="{00000000-0005-0000-0000-000037150000}"/>
    <cellStyle name="Normal 5 5 2 2 5" xfId="4697" xr:uid="{00000000-0005-0000-0000-000038150000}"/>
    <cellStyle name="Normal 5 5 2 3" xfId="717" xr:uid="{00000000-0005-0000-0000-000039150000}"/>
    <cellStyle name="Normal 5 5 2 3 2" xfId="1776" xr:uid="{00000000-0005-0000-0000-00003A150000}"/>
    <cellStyle name="Normal 5 5 2 3 2 2" xfId="3898" xr:uid="{00000000-0005-0000-0000-00003B150000}"/>
    <cellStyle name="Normal 5 5 2 3 2 2 2" xfId="8144" xr:uid="{00000000-0005-0000-0000-00003C150000}"/>
    <cellStyle name="Normal 5 5 2 3 2 3" xfId="6022" xr:uid="{00000000-0005-0000-0000-00003D150000}"/>
    <cellStyle name="Normal 5 5 2 3 3" xfId="2839" xr:uid="{00000000-0005-0000-0000-00003E150000}"/>
    <cellStyle name="Normal 5 5 2 3 3 2" xfId="7085" xr:uid="{00000000-0005-0000-0000-00003F150000}"/>
    <cellStyle name="Normal 5 5 2 3 4" xfId="4963" xr:uid="{00000000-0005-0000-0000-000040150000}"/>
    <cellStyle name="Normal 5 5 2 4" xfId="1247" xr:uid="{00000000-0005-0000-0000-000041150000}"/>
    <cellStyle name="Normal 5 5 2 4 2" xfId="3369" xr:uid="{00000000-0005-0000-0000-000042150000}"/>
    <cellStyle name="Normal 5 5 2 4 2 2" xfId="7615" xr:uid="{00000000-0005-0000-0000-000043150000}"/>
    <cellStyle name="Normal 5 5 2 4 3" xfId="5493" xr:uid="{00000000-0005-0000-0000-000044150000}"/>
    <cellStyle name="Normal 5 5 2 5" xfId="2310" xr:uid="{00000000-0005-0000-0000-000045150000}"/>
    <cellStyle name="Normal 5 5 2 5 2" xfId="6556" xr:uid="{00000000-0005-0000-0000-000046150000}"/>
    <cellStyle name="Normal 5 5 2 6" xfId="4434" xr:uid="{00000000-0005-0000-0000-000047150000}"/>
    <cellStyle name="Normal 5 5 3" xfId="319" xr:uid="{00000000-0005-0000-0000-000048150000}"/>
    <cellStyle name="Normal 5 5 3 2" xfId="849" xr:uid="{00000000-0005-0000-0000-000049150000}"/>
    <cellStyle name="Normal 5 5 3 2 2" xfId="1908" xr:uid="{00000000-0005-0000-0000-00004A150000}"/>
    <cellStyle name="Normal 5 5 3 2 2 2" xfId="4030" xr:uid="{00000000-0005-0000-0000-00004B150000}"/>
    <cellStyle name="Normal 5 5 3 2 2 2 2" xfId="8276" xr:uid="{00000000-0005-0000-0000-00004C150000}"/>
    <cellStyle name="Normal 5 5 3 2 2 3" xfId="6154" xr:uid="{00000000-0005-0000-0000-00004D150000}"/>
    <cellStyle name="Normal 5 5 3 2 3" xfId="2971" xr:uid="{00000000-0005-0000-0000-00004E150000}"/>
    <cellStyle name="Normal 5 5 3 2 3 2" xfId="7217" xr:uid="{00000000-0005-0000-0000-00004F150000}"/>
    <cellStyle name="Normal 5 5 3 2 4" xfId="5095" xr:uid="{00000000-0005-0000-0000-000050150000}"/>
    <cellStyle name="Normal 5 5 3 3" xfId="1379" xr:uid="{00000000-0005-0000-0000-000051150000}"/>
    <cellStyle name="Normal 5 5 3 3 2" xfId="3501" xr:uid="{00000000-0005-0000-0000-000052150000}"/>
    <cellStyle name="Normal 5 5 3 3 2 2" xfId="7747" xr:uid="{00000000-0005-0000-0000-000053150000}"/>
    <cellStyle name="Normal 5 5 3 3 3" xfId="5625" xr:uid="{00000000-0005-0000-0000-000054150000}"/>
    <cellStyle name="Normal 5 5 3 4" xfId="2442" xr:uid="{00000000-0005-0000-0000-000055150000}"/>
    <cellStyle name="Normal 5 5 3 4 2" xfId="6688" xr:uid="{00000000-0005-0000-0000-000056150000}"/>
    <cellStyle name="Normal 5 5 3 5" xfId="4566" xr:uid="{00000000-0005-0000-0000-000057150000}"/>
    <cellStyle name="Normal 5 5 4" xfId="586" xr:uid="{00000000-0005-0000-0000-000058150000}"/>
    <cellStyle name="Normal 5 5 4 2" xfId="1645" xr:uid="{00000000-0005-0000-0000-000059150000}"/>
    <cellStyle name="Normal 5 5 4 2 2" xfId="3767" xr:uid="{00000000-0005-0000-0000-00005A150000}"/>
    <cellStyle name="Normal 5 5 4 2 2 2" xfId="8013" xr:uid="{00000000-0005-0000-0000-00005B150000}"/>
    <cellStyle name="Normal 5 5 4 2 3" xfId="5891" xr:uid="{00000000-0005-0000-0000-00005C150000}"/>
    <cellStyle name="Normal 5 5 4 3" xfId="2708" xr:uid="{00000000-0005-0000-0000-00005D150000}"/>
    <cellStyle name="Normal 5 5 4 3 2" xfId="6954" xr:uid="{00000000-0005-0000-0000-00005E150000}"/>
    <cellStyle name="Normal 5 5 4 4" xfId="4832" xr:uid="{00000000-0005-0000-0000-00005F150000}"/>
    <cellStyle name="Normal 5 5 5" xfId="1116" xr:uid="{00000000-0005-0000-0000-000060150000}"/>
    <cellStyle name="Normal 5 5 5 2" xfId="3238" xr:uid="{00000000-0005-0000-0000-000061150000}"/>
    <cellStyle name="Normal 5 5 5 2 2" xfId="7484" xr:uid="{00000000-0005-0000-0000-000062150000}"/>
    <cellStyle name="Normal 5 5 5 3" xfId="5362" xr:uid="{00000000-0005-0000-0000-000063150000}"/>
    <cellStyle name="Normal 5 5 6" xfId="2179" xr:uid="{00000000-0005-0000-0000-000064150000}"/>
    <cellStyle name="Normal 5 5 6 2" xfId="6425" xr:uid="{00000000-0005-0000-0000-000065150000}"/>
    <cellStyle name="Normal 5 5 7" xfId="4303" xr:uid="{00000000-0005-0000-0000-000066150000}"/>
    <cellStyle name="Normal 5 6" xfId="143" xr:uid="{00000000-0005-0000-0000-000067150000}"/>
    <cellStyle name="Normal 5 6 2" xfId="406" xr:uid="{00000000-0005-0000-0000-000068150000}"/>
    <cellStyle name="Normal 5 6 2 2" xfId="936" xr:uid="{00000000-0005-0000-0000-000069150000}"/>
    <cellStyle name="Normal 5 6 2 2 2" xfId="1995" xr:uid="{00000000-0005-0000-0000-00006A150000}"/>
    <cellStyle name="Normal 5 6 2 2 2 2" xfId="4117" xr:uid="{00000000-0005-0000-0000-00006B150000}"/>
    <cellStyle name="Normal 5 6 2 2 2 2 2" xfId="8363" xr:uid="{00000000-0005-0000-0000-00006C150000}"/>
    <cellStyle name="Normal 5 6 2 2 2 3" xfId="6241" xr:uid="{00000000-0005-0000-0000-00006D150000}"/>
    <cellStyle name="Normal 5 6 2 2 3" xfId="3058" xr:uid="{00000000-0005-0000-0000-00006E150000}"/>
    <cellStyle name="Normal 5 6 2 2 3 2" xfId="7304" xr:uid="{00000000-0005-0000-0000-00006F150000}"/>
    <cellStyle name="Normal 5 6 2 2 4" xfId="5182" xr:uid="{00000000-0005-0000-0000-000070150000}"/>
    <cellStyle name="Normal 5 6 2 3" xfId="1466" xr:uid="{00000000-0005-0000-0000-000071150000}"/>
    <cellStyle name="Normal 5 6 2 3 2" xfId="3588" xr:uid="{00000000-0005-0000-0000-000072150000}"/>
    <cellStyle name="Normal 5 6 2 3 2 2" xfId="7834" xr:uid="{00000000-0005-0000-0000-000073150000}"/>
    <cellStyle name="Normal 5 6 2 3 3" xfId="5712" xr:uid="{00000000-0005-0000-0000-000074150000}"/>
    <cellStyle name="Normal 5 6 2 4" xfId="2529" xr:uid="{00000000-0005-0000-0000-000075150000}"/>
    <cellStyle name="Normal 5 6 2 4 2" xfId="6775" xr:uid="{00000000-0005-0000-0000-000076150000}"/>
    <cellStyle name="Normal 5 6 2 5" xfId="4653" xr:uid="{00000000-0005-0000-0000-000077150000}"/>
    <cellStyle name="Normal 5 6 3" xfId="673" xr:uid="{00000000-0005-0000-0000-000078150000}"/>
    <cellStyle name="Normal 5 6 3 2" xfId="1732" xr:uid="{00000000-0005-0000-0000-000079150000}"/>
    <cellStyle name="Normal 5 6 3 2 2" xfId="3854" xr:uid="{00000000-0005-0000-0000-00007A150000}"/>
    <cellStyle name="Normal 5 6 3 2 2 2" xfId="8100" xr:uid="{00000000-0005-0000-0000-00007B150000}"/>
    <cellStyle name="Normal 5 6 3 2 3" xfId="5978" xr:uid="{00000000-0005-0000-0000-00007C150000}"/>
    <cellStyle name="Normal 5 6 3 3" xfId="2795" xr:uid="{00000000-0005-0000-0000-00007D150000}"/>
    <cellStyle name="Normal 5 6 3 3 2" xfId="7041" xr:uid="{00000000-0005-0000-0000-00007E150000}"/>
    <cellStyle name="Normal 5 6 3 4" xfId="4919" xr:uid="{00000000-0005-0000-0000-00007F150000}"/>
    <cellStyle name="Normal 5 6 4" xfId="1203" xr:uid="{00000000-0005-0000-0000-000080150000}"/>
    <cellStyle name="Normal 5 6 4 2" xfId="3325" xr:uid="{00000000-0005-0000-0000-000081150000}"/>
    <cellStyle name="Normal 5 6 4 2 2" xfId="7571" xr:uid="{00000000-0005-0000-0000-000082150000}"/>
    <cellStyle name="Normal 5 6 4 3" xfId="5449" xr:uid="{00000000-0005-0000-0000-000083150000}"/>
    <cellStyle name="Normal 5 6 5" xfId="2266" xr:uid="{00000000-0005-0000-0000-000084150000}"/>
    <cellStyle name="Normal 5 6 5 2" xfId="6512" xr:uid="{00000000-0005-0000-0000-000085150000}"/>
    <cellStyle name="Normal 5 6 6" xfId="4390" xr:uid="{00000000-0005-0000-0000-000086150000}"/>
    <cellStyle name="Normal 5 7" xfId="275" xr:uid="{00000000-0005-0000-0000-000087150000}"/>
    <cellStyle name="Normal 5 7 2" xfId="805" xr:uid="{00000000-0005-0000-0000-000088150000}"/>
    <cellStyle name="Normal 5 7 2 2" xfId="1864" xr:uid="{00000000-0005-0000-0000-000089150000}"/>
    <cellStyle name="Normal 5 7 2 2 2" xfId="3986" xr:uid="{00000000-0005-0000-0000-00008A150000}"/>
    <cellStyle name="Normal 5 7 2 2 2 2" xfId="8232" xr:uid="{00000000-0005-0000-0000-00008B150000}"/>
    <cellStyle name="Normal 5 7 2 2 3" xfId="6110" xr:uid="{00000000-0005-0000-0000-00008C150000}"/>
    <cellStyle name="Normal 5 7 2 3" xfId="2927" xr:uid="{00000000-0005-0000-0000-00008D150000}"/>
    <cellStyle name="Normal 5 7 2 3 2" xfId="7173" xr:uid="{00000000-0005-0000-0000-00008E150000}"/>
    <cellStyle name="Normal 5 7 2 4" xfId="5051" xr:uid="{00000000-0005-0000-0000-00008F150000}"/>
    <cellStyle name="Normal 5 7 3" xfId="1335" xr:uid="{00000000-0005-0000-0000-000090150000}"/>
    <cellStyle name="Normal 5 7 3 2" xfId="3457" xr:uid="{00000000-0005-0000-0000-000091150000}"/>
    <cellStyle name="Normal 5 7 3 2 2" xfId="7703" xr:uid="{00000000-0005-0000-0000-000092150000}"/>
    <cellStyle name="Normal 5 7 3 3" xfId="5581" xr:uid="{00000000-0005-0000-0000-000093150000}"/>
    <cellStyle name="Normal 5 7 4" xfId="2398" xr:uid="{00000000-0005-0000-0000-000094150000}"/>
    <cellStyle name="Normal 5 7 4 2" xfId="6644" xr:uid="{00000000-0005-0000-0000-000095150000}"/>
    <cellStyle name="Normal 5 7 5" xfId="4522" xr:uid="{00000000-0005-0000-0000-000096150000}"/>
    <cellStyle name="Normal 5 8" xfId="541" xr:uid="{00000000-0005-0000-0000-000097150000}"/>
    <cellStyle name="Normal 5 8 2" xfId="1600" xr:uid="{00000000-0005-0000-0000-000098150000}"/>
    <cellStyle name="Normal 5 8 2 2" xfId="3722" xr:uid="{00000000-0005-0000-0000-000099150000}"/>
    <cellStyle name="Normal 5 8 2 2 2" xfId="7968" xr:uid="{00000000-0005-0000-0000-00009A150000}"/>
    <cellStyle name="Normal 5 8 2 3" xfId="5846" xr:uid="{00000000-0005-0000-0000-00009B150000}"/>
    <cellStyle name="Normal 5 8 3" xfId="2663" xr:uid="{00000000-0005-0000-0000-00009C150000}"/>
    <cellStyle name="Normal 5 8 3 2" xfId="6909" xr:uid="{00000000-0005-0000-0000-00009D150000}"/>
    <cellStyle name="Normal 5 8 4" xfId="4787" xr:uid="{00000000-0005-0000-0000-00009E150000}"/>
    <cellStyle name="Normal 5 9" xfId="1071" xr:uid="{00000000-0005-0000-0000-00009F150000}"/>
    <cellStyle name="Normal 5 9 2" xfId="3193" xr:uid="{00000000-0005-0000-0000-0000A0150000}"/>
    <cellStyle name="Normal 5 9 2 2" xfId="7439" xr:uid="{00000000-0005-0000-0000-0000A1150000}"/>
    <cellStyle name="Normal 5 9 3" xfId="5317" xr:uid="{00000000-0005-0000-0000-0000A2150000}"/>
    <cellStyle name="Normal 50" xfId="8614" xr:uid="{00000000-0005-0000-0000-0000A3150000}"/>
    <cellStyle name="Normal 51" xfId="8615" xr:uid="{00000000-0005-0000-0000-0000A4150000}"/>
    <cellStyle name="Normal 52" xfId="8616" xr:uid="{00000000-0005-0000-0000-0000A5150000}"/>
    <cellStyle name="Normal 53" xfId="8617" xr:uid="{00000000-0005-0000-0000-0000A6150000}"/>
    <cellStyle name="Normal 54" xfId="8618" xr:uid="{00000000-0005-0000-0000-0000A7150000}"/>
    <cellStyle name="Normal 55" xfId="8619" xr:uid="{00000000-0005-0000-0000-0000A8150000}"/>
    <cellStyle name="Normal 56" xfId="6" xr:uid="{00000000-0005-0000-0000-0000A9150000}"/>
    <cellStyle name="Normal 57" xfId="8620" xr:uid="{00000000-0005-0000-0000-0000D9210000}"/>
    <cellStyle name="Normal 6" xfId="11" xr:uid="{00000000-0005-0000-0000-0000AA150000}"/>
    <cellStyle name="Normal 6 10" xfId="2135" xr:uid="{00000000-0005-0000-0000-0000AB150000}"/>
    <cellStyle name="Normal 6 10 2" xfId="6381" xr:uid="{00000000-0005-0000-0000-0000AC150000}"/>
    <cellStyle name="Normal 6 11" xfId="4259" xr:uid="{00000000-0005-0000-0000-0000AD150000}"/>
    <cellStyle name="Normal 6 2" xfId="23" xr:uid="{00000000-0005-0000-0000-0000AE150000}"/>
    <cellStyle name="Normal 6 2 10" xfId="4271" xr:uid="{00000000-0005-0000-0000-0000AF150000}"/>
    <cellStyle name="Normal 6 2 2" xfId="44" xr:uid="{00000000-0005-0000-0000-0000B0150000}"/>
    <cellStyle name="Normal 6 2 2 2" xfId="130" xr:uid="{00000000-0005-0000-0000-0000B1150000}"/>
    <cellStyle name="Normal 6 2 2 2 2" xfId="261" xr:uid="{00000000-0005-0000-0000-0000B2150000}"/>
    <cellStyle name="Normal 6 2 2 2 2 2" xfId="524" xr:uid="{00000000-0005-0000-0000-0000B3150000}"/>
    <cellStyle name="Normal 6 2 2 2 2 2 2" xfId="1054" xr:uid="{00000000-0005-0000-0000-0000B4150000}"/>
    <cellStyle name="Normal 6 2 2 2 2 2 2 2" xfId="2113" xr:uid="{00000000-0005-0000-0000-0000B5150000}"/>
    <cellStyle name="Normal 6 2 2 2 2 2 2 2 2" xfId="4235" xr:uid="{00000000-0005-0000-0000-0000B6150000}"/>
    <cellStyle name="Normal 6 2 2 2 2 2 2 2 2 2" xfId="8481" xr:uid="{00000000-0005-0000-0000-0000B7150000}"/>
    <cellStyle name="Normal 6 2 2 2 2 2 2 2 3" xfId="6359" xr:uid="{00000000-0005-0000-0000-0000B8150000}"/>
    <cellStyle name="Normal 6 2 2 2 2 2 2 3" xfId="3176" xr:uid="{00000000-0005-0000-0000-0000B9150000}"/>
    <cellStyle name="Normal 6 2 2 2 2 2 2 3 2" xfId="7422" xr:uid="{00000000-0005-0000-0000-0000BA150000}"/>
    <cellStyle name="Normal 6 2 2 2 2 2 2 4" xfId="5300" xr:uid="{00000000-0005-0000-0000-0000BB150000}"/>
    <cellStyle name="Normal 6 2 2 2 2 2 3" xfId="1584" xr:uid="{00000000-0005-0000-0000-0000BC150000}"/>
    <cellStyle name="Normal 6 2 2 2 2 2 3 2" xfId="3706" xr:uid="{00000000-0005-0000-0000-0000BD150000}"/>
    <cellStyle name="Normal 6 2 2 2 2 2 3 2 2" xfId="7952" xr:uid="{00000000-0005-0000-0000-0000BE150000}"/>
    <cellStyle name="Normal 6 2 2 2 2 2 3 3" xfId="5830" xr:uid="{00000000-0005-0000-0000-0000BF150000}"/>
    <cellStyle name="Normal 6 2 2 2 2 2 4" xfId="2647" xr:uid="{00000000-0005-0000-0000-0000C0150000}"/>
    <cellStyle name="Normal 6 2 2 2 2 2 4 2" xfId="6893" xr:uid="{00000000-0005-0000-0000-0000C1150000}"/>
    <cellStyle name="Normal 6 2 2 2 2 2 5" xfId="4771" xr:uid="{00000000-0005-0000-0000-0000C2150000}"/>
    <cellStyle name="Normal 6 2 2 2 2 3" xfId="791" xr:uid="{00000000-0005-0000-0000-0000C3150000}"/>
    <cellStyle name="Normal 6 2 2 2 2 3 2" xfId="1850" xr:uid="{00000000-0005-0000-0000-0000C4150000}"/>
    <cellStyle name="Normal 6 2 2 2 2 3 2 2" xfId="3972" xr:uid="{00000000-0005-0000-0000-0000C5150000}"/>
    <cellStyle name="Normal 6 2 2 2 2 3 2 2 2" xfId="8218" xr:uid="{00000000-0005-0000-0000-0000C6150000}"/>
    <cellStyle name="Normal 6 2 2 2 2 3 2 3" xfId="6096" xr:uid="{00000000-0005-0000-0000-0000C7150000}"/>
    <cellStyle name="Normal 6 2 2 2 2 3 3" xfId="2913" xr:uid="{00000000-0005-0000-0000-0000C8150000}"/>
    <cellStyle name="Normal 6 2 2 2 2 3 3 2" xfId="7159" xr:uid="{00000000-0005-0000-0000-0000C9150000}"/>
    <cellStyle name="Normal 6 2 2 2 2 3 4" xfId="5037" xr:uid="{00000000-0005-0000-0000-0000CA150000}"/>
    <cellStyle name="Normal 6 2 2 2 2 4" xfId="1321" xr:uid="{00000000-0005-0000-0000-0000CB150000}"/>
    <cellStyle name="Normal 6 2 2 2 2 4 2" xfId="3443" xr:uid="{00000000-0005-0000-0000-0000CC150000}"/>
    <cellStyle name="Normal 6 2 2 2 2 4 2 2" xfId="7689" xr:uid="{00000000-0005-0000-0000-0000CD150000}"/>
    <cellStyle name="Normal 6 2 2 2 2 4 3" xfId="5567" xr:uid="{00000000-0005-0000-0000-0000CE150000}"/>
    <cellStyle name="Normal 6 2 2 2 2 5" xfId="2384" xr:uid="{00000000-0005-0000-0000-0000CF150000}"/>
    <cellStyle name="Normal 6 2 2 2 2 5 2" xfId="6630" xr:uid="{00000000-0005-0000-0000-0000D0150000}"/>
    <cellStyle name="Normal 6 2 2 2 2 6" xfId="4508" xr:uid="{00000000-0005-0000-0000-0000D1150000}"/>
    <cellStyle name="Normal 6 2 2 2 3" xfId="393" xr:uid="{00000000-0005-0000-0000-0000D2150000}"/>
    <cellStyle name="Normal 6 2 2 2 3 2" xfId="923" xr:uid="{00000000-0005-0000-0000-0000D3150000}"/>
    <cellStyle name="Normal 6 2 2 2 3 2 2" xfId="1982" xr:uid="{00000000-0005-0000-0000-0000D4150000}"/>
    <cellStyle name="Normal 6 2 2 2 3 2 2 2" xfId="4104" xr:uid="{00000000-0005-0000-0000-0000D5150000}"/>
    <cellStyle name="Normal 6 2 2 2 3 2 2 2 2" xfId="8350" xr:uid="{00000000-0005-0000-0000-0000D6150000}"/>
    <cellStyle name="Normal 6 2 2 2 3 2 2 3" xfId="6228" xr:uid="{00000000-0005-0000-0000-0000D7150000}"/>
    <cellStyle name="Normal 6 2 2 2 3 2 3" xfId="3045" xr:uid="{00000000-0005-0000-0000-0000D8150000}"/>
    <cellStyle name="Normal 6 2 2 2 3 2 3 2" xfId="7291" xr:uid="{00000000-0005-0000-0000-0000D9150000}"/>
    <cellStyle name="Normal 6 2 2 2 3 2 4" xfId="5169" xr:uid="{00000000-0005-0000-0000-0000DA150000}"/>
    <cellStyle name="Normal 6 2 2 2 3 3" xfId="1453" xr:uid="{00000000-0005-0000-0000-0000DB150000}"/>
    <cellStyle name="Normal 6 2 2 2 3 3 2" xfId="3575" xr:uid="{00000000-0005-0000-0000-0000DC150000}"/>
    <cellStyle name="Normal 6 2 2 2 3 3 2 2" xfId="7821" xr:uid="{00000000-0005-0000-0000-0000DD150000}"/>
    <cellStyle name="Normal 6 2 2 2 3 3 3" xfId="5699" xr:uid="{00000000-0005-0000-0000-0000DE150000}"/>
    <cellStyle name="Normal 6 2 2 2 3 4" xfId="2516" xr:uid="{00000000-0005-0000-0000-0000DF150000}"/>
    <cellStyle name="Normal 6 2 2 2 3 4 2" xfId="6762" xr:uid="{00000000-0005-0000-0000-0000E0150000}"/>
    <cellStyle name="Normal 6 2 2 2 3 5" xfId="4640" xr:uid="{00000000-0005-0000-0000-0000E1150000}"/>
    <cellStyle name="Normal 6 2 2 2 4" xfId="660" xr:uid="{00000000-0005-0000-0000-0000E2150000}"/>
    <cellStyle name="Normal 6 2 2 2 4 2" xfId="1719" xr:uid="{00000000-0005-0000-0000-0000E3150000}"/>
    <cellStyle name="Normal 6 2 2 2 4 2 2" xfId="3841" xr:uid="{00000000-0005-0000-0000-0000E4150000}"/>
    <cellStyle name="Normal 6 2 2 2 4 2 2 2" xfId="8087" xr:uid="{00000000-0005-0000-0000-0000E5150000}"/>
    <cellStyle name="Normal 6 2 2 2 4 2 3" xfId="5965" xr:uid="{00000000-0005-0000-0000-0000E6150000}"/>
    <cellStyle name="Normal 6 2 2 2 4 3" xfId="2782" xr:uid="{00000000-0005-0000-0000-0000E7150000}"/>
    <cellStyle name="Normal 6 2 2 2 4 3 2" xfId="7028" xr:uid="{00000000-0005-0000-0000-0000E8150000}"/>
    <cellStyle name="Normal 6 2 2 2 4 4" xfId="4906" xr:uid="{00000000-0005-0000-0000-0000E9150000}"/>
    <cellStyle name="Normal 6 2 2 2 5" xfId="1190" xr:uid="{00000000-0005-0000-0000-0000EA150000}"/>
    <cellStyle name="Normal 6 2 2 2 5 2" xfId="3312" xr:uid="{00000000-0005-0000-0000-0000EB150000}"/>
    <cellStyle name="Normal 6 2 2 2 5 2 2" xfId="7558" xr:uid="{00000000-0005-0000-0000-0000EC150000}"/>
    <cellStyle name="Normal 6 2 2 2 5 3" xfId="5436" xr:uid="{00000000-0005-0000-0000-0000ED150000}"/>
    <cellStyle name="Normal 6 2 2 2 6" xfId="2253" xr:uid="{00000000-0005-0000-0000-0000EE150000}"/>
    <cellStyle name="Normal 6 2 2 2 6 2" xfId="6499" xr:uid="{00000000-0005-0000-0000-0000EF150000}"/>
    <cellStyle name="Normal 6 2 2 2 7" xfId="4377" xr:uid="{00000000-0005-0000-0000-0000F0150000}"/>
    <cellStyle name="Normal 6 2 2 3" xfId="87" xr:uid="{00000000-0005-0000-0000-0000F1150000}"/>
    <cellStyle name="Normal 6 2 2 3 2" xfId="219" xr:uid="{00000000-0005-0000-0000-0000F2150000}"/>
    <cellStyle name="Normal 6 2 2 3 2 2" xfId="482" xr:uid="{00000000-0005-0000-0000-0000F3150000}"/>
    <cellStyle name="Normal 6 2 2 3 2 2 2" xfId="1012" xr:uid="{00000000-0005-0000-0000-0000F4150000}"/>
    <cellStyle name="Normal 6 2 2 3 2 2 2 2" xfId="2071" xr:uid="{00000000-0005-0000-0000-0000F5150000}"/>
    <cellStyle name="Normal 6 2 2 3 2 2 2 2 2" xfId="4193" xr:uid="{00000000-0005-0000-0000-0000F6150000}"/>
    <cellStyle name="Normal 6 2 2 3 2 2 2 2 2 2" xfId="8439" xr:uid="{00000000-0005-0000-0000-0000F7150000}"/>
    <cellStyle name="Normal 6 2 2 3 2 2 2 2 3" xfId="6317" xr:uid="{00000000-0005-0000-0000-0000F8150000}"/>
    <cellStyle name="Normal 6 2 2 3 2 2 2 3" xfId="3134" xr:uid="{00000000-0005-0000-0000-0000F9150000}"/>
    <cellStyle name="Normal 6 2 2 3 2 2 2 3 2" xfId="7380" xr:uid="{00000000-0005-0000-0000-0000FA150000}"/>
    <cellStyle name="Normal 6 2 2 3 2 2 2 4" xfId="5258" xr:uid="{00000000-0005-0000-0000-0000FB150000}"/>
    <cellStyle name="Normal 6 2 2 3 2 2 3" xfId="1542" xr:uid="{00000000-0005-0000-0000-0000FC150000}"/>
    <cellStyle name="Normal 6 2 2 3 2 2 3 2" xfId="3664" xr:uid="{00000000-0005-0000-0000-0000FD150000}"/>
    <cellStyle name="Normal 6 2 2 3 2 2 3 2 2" xfId="7910" xr:uid="{00000000-0005-0000-0000-0000FE150000}"/>
    <cellStyle name="Normal 6 2 2 3 2 2 3 3" xfId="5788" xr:uid="{00000000-0005-0000-0000-0000FF150000}"/>
    <cellStyle name="Normal 6 2 2 3 2 2 4" xfId="2605" xr:uid="{00000000-0005-0000-0000-000000160000}"/>
    <cellStyle name="Normal 6 2 2 3 2 2 4 2" xfId="6851" xr:uid="{00000000-0005-0000-0000-000001160000}"/>
    <cellStyle name="Normal 6 2 2 3 2 2 5" xfId="4729" xr:uid="{00000000-0005-0000-0000-000002160000}"/>
    <cellStyle name="Normal 6 2 2 3 2 3" xfId="749" xr:uid="{00000000-0005-0000-0000-000003160000}"/>
    <cellStyle name="Normal 6 2 2 3 2 3 2" xfId="1808" xr:uid="{00000000-0005-0000-0000-000004160000}"/>
    <cellStyle name="Normal 6 2 2 3 2 3 2 2" xfId="3930" xr:uid="{00000000-0005-0000-0000-000005160000}"/>
    <cellStyle name="Normal 6 2 2 3 2 3 2 2 2" xfId="8176" xr:uid="{00000000-0005-0000-0000-000006160000}"/>
    <cellStyle name="Normal 6 2 2 3 2 3 2 3" xfId="6054" xr:uid="{00000000-0005-0000-0000-000007160000}"/>
    <cellStyle name="Normal 6 2 2 3 2 3 3" xfId="2871" xr:uid="{00000000-0005-0000-0000-000008160000}"/>
    <cellStyle name="Normal 6 2 2 3 2 3 3 2" xfId="7117" xr:uid="{00000000-0005-0000-0000-000009160000}"/>
    <cellStyle name="Normal 6 2 2 3 2 3 4" xfId="4995" xr:uid="{00000000-0005-0000-0000-00000A160000}"/>
    <cellStyle name="Normal 6 2 2 3 2 4" xfId="1279" xr:uid="{00000000-0005-0000-0000-00000B160000}"/>
    <cellStyle name="Normal 6 2 2 3 2 4 2" xfId="3401" xr:uid="{00000000-0005-0000-0000-00000C160000}"/>
    <cellStyle name="Normal 6 2 2 3 2 4 2 2" xfId="7647" xr:uid="{00000000-0005-0000-0000-00000D160000}"/>
    <cellStyle name="Normal 6 2 2 3 2 4 3" xfId="5525" xr:uid="{00000000-0005-0000-0000-00000E160000}"/>
    <cellStyle name="Normal 6 2 2 3 2 5" xfId="2342" xr:uid="{00000000-0005-0000-0000-00000F160000}"/>
    <cellStyle name="Normal 6 2 2 3 2 5 2" xfId="6588" xr:uid="{00000000-0005-0000-0000-000010160000}"/>
    <cellStyle name="Normal 6 2 2 3 2 6" xfId="4466" xr:uid="{00000000-0005-0000-0000-000011160000}"/>
    <cellStyle name="Normal 6 2 2 3 3" xfId="351" xr:uid="{00000000-0005-0000-0000-000012160000}"/>
    <cellStyle name="Normal 6 2 2 3 3 2" xfId="881" xr:uid="{00000000-0005-0000-0000-000013160000}"/>
    <cellStyle name="Normal 6 2 2 3 3 2 2" xfId="1940" xr:uid="{00000000-0005-0000-0000-000014160000}"/>
    <cellStyle name="Normal 6 2 2 3 3 2 2 2" xfId="4062" xr:uid="{00000000-0005-0000-0000-000015160000}"/>
    <cellStyle name="Normal 6 2 2 3 3 2 2 2 2" xfId="8308" xr:uid="{00000000-0005-0000-0000-000016160000}"/>
    <cellStyle name="Normal 6 2 2 3 3 2 2 3" xfId="6186" xr:uid="{00000000-0005-0000-0000-000017160000}"/>
    <cellStyle name="Normal 6 2 2 3 3 2 3" xfId="3003" xr:uid="{00000000-0005-0000-0000-000018160000}"/>
    <cellStyle name="Normal 6 2 2 3 3 2 3 2" xfId="7249" xr:uid="{00000000-0005-0000-0000-000019160000}"/>
    <cellStyle name="Normal 6 2 2 3 3 2 4" xfId="5127" xr:uid="{00000000-0005-0000-0000-00001A160000}"/>
    <cellStyle name="Normal 6 2 2 3 3 3" xfId="1411" xr:uid="{00000000-0005-0000-0000-00001B160000}"/>
    <cellStyle name="Normal 6 2 2 3 3 3 2" xfId="3533" xr:uid="{00000000-0005-0000-0000-00001C160000}"/>
    <cellStyle name="Normal 6 2 2 3 3 3 2 2" xfId="7779" xr:uid="{00000000-0005-0000-0000-00001D160000}"/>
    <cellStyle name="Normal 6 2 2 3 3 3 3" xfId="5657" xr:uid="{00000000-0005-0000-0000-00001E160000}"/>
    <cellStyle name="Normal 6 2 2 3 3 4" xfId="2474" xr:uid="{00000000-0005-0000-0000-00001F160000}"/>
    <cellStyle name="Normal 6 2 2 3 3 4 2" xfId="6720" xr:uid="{00000000-0005-0000-0000-000020160000}"/>
    <cellStyle name="Normal 6 2 2 3 3 5" xfId="4598" xr:uid="{00000000-0005-0000-0000-000021160000}"/>
    <cellStyle name="Normal 6 2 2 3 4" xfId="618" xr:uid="{00000000-0005-0000-0000-000022160000}"/>
    <cellStyle name="Normal 6 2 2 3 4 2" xfId="1677" xr:uid="{00000000-0005-0000-0000-000023160000}"/>
    <cellStyle name="Normal 6 2 2 3 4 2 2" xfId="3799" xr:uid="{00000000-0005-0000-0000-000024160000}"/>
    <cellStyle name="Normal 6 2 2 3 4 2 2 2" xfId="8045" xr:uid="{00000000-0005-0000-0000-000025160000}"/>
    <cellStyle name="Normal 6 2 2 3 4 2 3" xfId="5923" xr:uid="{00000000-0005-0000-0000-000026160000}"/>
    <cellStyle name="Normal 6 2 2 3 4 3" xfId="2740" xr:uid="{00000000-0005-0000-0000-000027160000}"/>
    <cellStyle name="Normal 6 2 2 3 4 3 2" xfId="6986" xr:uid="{00000000-0005-0000-0000-000028160000}"/>
    <cellStyle name="Normal 6 2 2 3 4 4" xfId="4864" xr:uid="{00000000-0005-0000-0000-000029160000}"/>
    <cellStyle name="Normal 6 2 2 3 5" xfId="1148" xr:uid="{00000000-0005-0000-0000-00002A160000}"/>
    <cellStyle name="Normal 6 2 2 3 5 2" xfId="3270" xr:uid="{00000000-0005-0000-0000-00002B160000}"/>
    <cellStyle name="Normal 6 2 2 3 5 2 2" xfId="7516" xr:uid="{00000000-0005-0000-0000-00002C160000}"/>
    <cellStyle name="Normal 6 2 2 3 5 3" xfId="5394" xr:uid="{00000000-0005-0000-0000-00002D160000}"/>
    <cellStyle name="Normal 6 2 2 3 6" xfId="2211" xr:uid="{00000000-0005-0000-0000-00002E160000}"/>
    <cellStyle name="Normal 6 2 2 3 6 2" xfId="6457" xr:uid="{00000000-0005-0000-0000-00002F160000}"/>
    <cellStyle name="Normal 6 2 2 3 7" xfId="4335" xr:uid="{00000000-0005-0000-0000-000030160000}"/>
    <cellStyle name="Normal 6 2 2 4" xfId="176" xr:uid="{00000000-0005-0000-0000-000031160000}"/>
    <cellStyle name="Normal 6 2 2 4 2" xfId="439" xr:uid="{00000000-0005-0000-0000-000032160000}"/>
    <cellStyle name="Normal 6 2 2 4 2 2" xfId="969" xr:uid="{00000000-0005-0000-0000-000033160000}"/>
    <cellStyle name="Normal 6 2 2 4 2 2 2" xfId="2028" xr:uid="{00000000-0005-0000-0000-000034160000}"/>
    <cellStyle name="Normal 6 2 2 4 2 2 2 2" xfId="4150" xr:uid="{00000000-0005-0000-0000-000035160000}"/>
    <cellStyle name="Normal 6 2 2 4 2 2 2 2 2" xfId="8396" xr:uid="{00000000-0005-0000-0000-000036160000}"/>
    <cellStyle name="Normal 6 2 2 4 2 2 2 3" xfId="6274" xr:uid="{00000000-0005-0000-0000-000037160000}"/>
    <cellStyle name="Normal 6 2 2 4 2 2 3" xfId="3091" xr:uid="{00000000-0005-0000-0000-000038160000}"/>
    <cellStyle name="Normal 6 2 2 4 2 2 3 2" xfId="7337" xr:uid="{00000000-0005-0000-0000-000039160000}"/>
    <cellStyle name="Normal 6 2 2 4 2 2 4" xfId="5215" xr:uid="{00000000-0005-0000-0000-00003A160000}"/>
    <cellStyle name="Normal 6 2 2 4 2 3" xfId="1499" xr:uid="{00000000-0005-0000-0000-00003B160000}"/>
    <cellStyle name="Normal 6 2 2 4 2 3 2" xfId="3621" xr:uid="{00000000-0005-0000-0000-00003C160000}"/>
    <cellStyle name="Normal 6 2 2 4 2 3 2 2" xfId="7867" xr:uid="{00000000-0005-0000-0000-00003D160000}"/>
    <cellStyle name="Normal 6 2 2 4 2 3 3" xfId="5745" xr:uid="{00000000-0005-0000-0000-00003E160000}"/>
    <cellStyle name="Normal 6 2 2 4 2 4" xfId="2562" xr:uid="{00000000-0005-0000-0000-00003F160000}"/>
    <cellStyle name="Normal 6 2 2 4 2 4 2" xfId="6808" xr:uid="{00000000-0005-0000-0000-000040160000}"/>
    <cellStyle name="Normal 6 2 2 4 2 5" xfId="4686" xr:uid="{00000000-0005-0000-0000-000041160000}"/>
    <cellStyle name="Normal 6 2 2 4 3" xfId="706" xr:uid="{00000000-0005-0000-0000-000042160000}"/>
    <cellStyle name="Normal 6 2 2 4 3 2" xfId="1765" xr:uid="{00000000-0005-0000-0000-000043160000}"/>
    <cellStyle name="Normal 6 2 2 4 3 2 2" xfId="3887" xr:uid="{00000000-0005-0000-0000-000044160000}"/>
    <cellStyle name="Normal 6 2 2 4 3 2 2 2" xfId="8133" xr:uid="{00000000-0005-0000-0000-000045160000}"/>
    <cellStyle name="Normal 6 2 2 4 3 2 3" xfId="6011" xr:uid="{00000000-0005-0000-0000-000046160000}"/>
    <cellStyle name="Normal 6 2 2 4 3 3" xfId="2828" xr:uid="{00000000-0005-0000-0000-000047160000}"/>
    <cellStyle name="Normal 6 2 2 4 3 3 2" xfId="7074" xr:uid="{00000000-0005-0000-0000-000048160000}"/>
    <cellStyle name="Normal 6 2 2 4 3 4" xfId="4952" xr:uid="{00000000-0005-0000-0000-000049160000}"/>
    <cellStyle name="Normal 6 2 2 4 4" xfId="1236" xr:uid="{00000000-0005-0000-0000-00004A160000}"/>
    <cellStyle name="Normal 6 2 2 4 4 2" xfId="3358" xr:uid="{00000000-0005-0000-0000-00004B160000}"/>
    <cellStyle name="Normal 6 2 2 4 4 2 2" xfId="7604" xr:uid="{00000000-0005-0000-0000-00004C160000}"/>
    <cellStyle name="Normal 6 2 2 4 4 3" xfId="5482" xr:uid="{00000000-0005-0000-0000-00004D160000}"/>
    <cellStyle name="Normal 6 2 2 4 5" xfId="2299" xr:uid="{00000000-0005-0000-0000-00004E160000}"/>
    <cellStyle name="Normal 6 2 2 4 5 2" xfId="6545" xr:uid="{00000000-0005-0000-0000-00004F160000}"/>
    <cellStyle name="Normal 6 2 2 4 6" xfId="4423" xr:uid="{00000000-0005-0000-0000-000050160000}"/>
    <cellStyle name="Normal 6 2 2 5" xfId="308" xr:uid="{00000000-0005-0000-0000-000051160000}"/>
    <cellStyle name="Normal 6 2 2 5 2" xfId="838" xr:uid="{00000000-0005-0000-0000-000052160000}"/>
    <cellStyle name="Normal 6 2 2 5 2 2" xfId="1897" xr:uid="{00000000-0005-0000-0000-000053160000}"/>
    <cellStyle name="Normal 6 2 2 5 2 2 2" xfId="4019" xr:uid="{00000000-0005-0000-0000-000054160000}"/>
    <cellStyle name="Normal 6 2 2 5 2 2 2 2" xfId="8265" xr:uid="{00000000-0005-0000-0000-000055160000}"/>
    <cellStyle name="Normal 6 2 2 5 2 2 3" xfId="6143" xr:uid="{00000000-0005-0000-0000-000056160000}"/>
    <cellStyle name="Normal 6 2 2 5 2 3" xfId="2960" xr:uid="{00000000-0005-0000-0000-000057160000}"/>
    <cellStyle name="Normal 6 2 2 5 2 3 2" xfId="7206" xr:uid="{00000000-0005-0000-0000-000058160000}"/>
    <cellStyle name="Normal 6 2 2 5 2 4" xfId="5084" xr:uid="{00000000-0005-0000-0000-000059160000}"/>
    <cellStyle name="Normal 6 2 2 5 3" xfId="1368" xr:uid="{00000000-0005-0000-0000-00005A160000}"/>
    <cellStyle name="Normal 6 2 2 5 3 2" xfId="3490" xr:uid="{00000000-0005-0000-0000-00005B160000}"/>
    <cellStyle name="Normal 6 2 2 5 3 2 2" xfId="7736" xr:uid="{00000000-0005-0000-0000-00005C160000}"/>
    <cellStyle name="Normal 6 2 2 5 3 3" xfId="5614" xr:uid="{00000000-0005-0000-0000-00005D160000}"/>
    <cellStyle name="Normal 6 2 2 5 4" xfId="2431" xr:uid="{00000000-0005-0000-0000-00005E160000}"/>
    <cellStyle name="Normal 6 2 2 5 4 2" xfId="6677" xr:uid="{00000000-0005-0000-0000-00005F160000}"/>
    <cellStyle name="Normal 6 2 2 5 5" xfId="4555" xr:uid="{00000000-0005-0000-0000-000060160000}"/>
    <cellStyle name="Normal 6 2 2 6" xfId="575" xr:uid="{00000000-0005-0000-0000-000061160000}"/>
    <cellStyle name="Normal 6 2 2 6 2" xfId="1634" xr:uid="{00000000-0005-0000-0000-000062160000}"/>
    <cellStyle name="Normal 6 2 2 6 2 2" xfId="3756" xr:uid="{00000000-0005-0000-0000-000063160000}"/>
    <cellStyle name="Normal 6 2 2 6 2 2 2" xfId="8002" xr:uid="{00000000-0005-0000-0000-000064160000}"/>
    <cellStyle name="Normal 6 2 2 6 2 3" xfId="5880" xr:uid="{00000000-0005-0000-0000-000065160000}"/>
    <cellStyle name="Normal 6 2 2 6 3" xfId="2697" xr:uid="{00000000-0005-0000-0000-000066160000}"/>
    <cellStyle name="Normal 6 2 2 6 3 2" xfId="6943" xr:uid="{00000000-0005-0000-0000-000067160000}"/>
    <cellStyle name="Normal 6 2 2 6 4" xfId="4821" xr:uid="{00000000-0005-0000-0000-000068160000}"/>
    <cellStyle name="Normal 6 2 2 7" xfId="1105" xr:uid="{00000000-0005-0000-0000-000069160000}"/>
    <cellStyle name="Normal 6 2 2 7 2" xfId="3227" xr:uid="{00000000-0005-0000-0000-00006A160000}"/>
    <cellStyle name="Normal 6 2 2 7 2 2" xfId="7473" xr:uid="{00000000-0005-0000-0000-00006B160000}"/>
    <cellStyle name="Normal 6 2 2 7 3" xfId="5351" xr:uid="{00000000-0005-0000-0000-00006C160000}"/>
    <cellStyle name="Normal 6 2 2 8" xfId="2168" xr:uid="{00000000-0005-0000-0000-00006D160000}"/>
    <cellStyle name="Normal 6 2 2 8 2" xfId="6414" xr:uid="{00000000-0005-0000-0000-00006E160000}"/>
    <cellStyle name="Normal 6 2 2 9" xfId="4292" xr:uid="{00000000-0005-0000-0000-00006F160000}"/>
    <cellStyle name="Normal 6 2 3" xfId="109" xr:uid="{00000000-0005-0000-0000-000070160000}"/>
    <cellStyle name="Normal 6 2 3 2" xfId="240" xr:uid="{00000000-0005-0000-0000-000071160000}"/>
    <cellStyle name="Normal 6 2 3 2 2" xfId="503" xr:uid="{00000000-0005-0000-0000-000072160000}"/>
    <cellStyle name="Normal 6 2 3 2 2 2" xfId="1033" xr:uid="{00000000-0005-0000-0000-000073160000}"/>
    <cellStyle name="Normal 6 2 3 2 2 2 2" xfId="2092" xr:uid="{00000000-0005-0000-0000-000074160000}"/>
    <cellStyle name="Normal 6 2 3 2 2 2 2 2" xfId="4214" xr:uid="{00000000-0005-0000-0000-000075160000}"/>
    <cellStyle name="Normal 6 2 3 2 2 2 2 2 2" xfId="8460" xr:uid="{00000000-0005-0000-0000-000076160000}"/>
    <cellStyle name="Normal 6 2 3 2 2 2 2 3" xfId="6338" xr:uid="{00000000-0005-0000-0000-000077160000}"/>
    <cellStyle name="Normal 6 2 3 2 2 2 3" xfId="3155" xr:uid="{00000000-0005-0000-0000-000078160000}"/>
    <cellStyle name="Normal 6 2 3 2 2 2 3 2" xfId="7401" xr:uid="{00000000-0005-0000-0000-000079160000}"/>
    <cellStyle name="Normal 6 2 3 2 2 2 4" xfId="5279" xr:uid="{00000000-0005-0000-0000-00007A160000}"/>
    <cellStyle name="Normal 6 2 3 2 2 3" xfId="1563" xr:uid="{00000000-0005-0000-0000-00007B160000}"/>
    <cellStyle name="Normal 6 2 3 2 2 3 2" xfId="3685" xr:uid="{00000000-0005-0000-0000-00007C160000}"/>
    <cellStyle name="Normal 6 2 3 2 2 3 2 2" xfId="7931" xr:uid="{00000000-0005-0000-0000-00007D160000}"/>
    <cellStyle name="Normal 6 2 3 2 2 3 3" xfId="5809" xr:uid="{00000000-0005-0000-0000-00007E160000}"/>
    <cellStyle name="Normal 6 2 3 2 2 4" xfId="2626" xr:uid="{00000000-0005-0000-0000-00007F160000}"/>
    <cellStyle name="Normal 6 2 3 2 2 4 2" xfId="6872" xr:uid="{00000000-0005-0000-0000-000080160000}"/>
    <cellStyle name="Normal 6 2 3 2 2 5" xfId="4750" xr:uid="{00000000-0005-0000-0000-000081160000}"/>
    <cellStyle name="Normal 6 2 3 2 3" xfId="770" xr:uid="{00000000-0005-0000-0000-000082160000}"/>
    <cellStyle name="Normal 6 2 3 2 3 2" xfId="1829" xr:uid="{00000000-0005-0000-0000-000083160000}"/>
    <cellStyle name="Normal 6 2 3 2 3 2 2" xfId="3951" xr:uid="{00000000-0005-0000-0000-000084160000}"/>
    <cellStyle name="Normal 6 2 3 2 3 2 2 2" xfId="8197" xr:uid="{00000000-0005-0000-0000-000085160000}"/>
    <cellStyle name="Normal 6 2 3 2 3 2 3" xfId="6075" xr:uid="{00000000-0005-0000-0000-000086160000}"/>
    <cellStyle name="Normal 6 2 3 2 3 3" xfId="2892" xr:uid="{00000000-0005-0000-0000-000087160000}"/>
    <cellStyle name="Normal 6 2 3 2 3 3 2" xfId="7138" xr:uid="{00000000-0005-0000-0000-000088160000}"/>
    <cellStyle name="Normal 6 2 3 2 3 4" xfId="5016" xr:uid="{00000000-0005-0000-0000-000089160000}"/>
    <cellStyle name="Normal 6 2 3 2 4" xfId="1300" xr:uid="{00000000-0005-0000-0000-00008A160000}"/>
    <cellStyle name="Normal 6 2 3 2 4 2" xfId="3422" xr:uid="{00000000-0005-0000-0000-00008B160000}"/>
    <cellStyle name="Normal 6 2 3 2 4 2 2" xfId="7668" xr:uid="{00000000-0005-0000-0000-00008C160000}"/>
    <cellStyle name="Normal 6 2 3 2 4 3" xfId="5546" xr:uid="{00000000-0005-0000-0000-00008D160000}"/>
    <cellStyle name="Normal 6 2 3 2 5" xfId="2363" xr:uid="{00000000-0005-0000-0000-00008E160000}"/>
    <cellStyle name="Normal 6 2 3 2 5 2" xfId="6609" xr:uid="{00000000-0005-0000-0000-00008F160000}"/>
    <cellStyle name="Normal 6 2 3 2 6" xfId="4487" xr:uid="{00000000-0005-0000-0000-000090160000}"/>
    <cellStyle name="Normal 6 2 3 3" xfId="372" xr:uid="{00000000-0005-0000-0000-000091160000}"/>
    <cellStyle name="Normal 6 2 3 3 2" xfId="902" xr:uid="{00000000-0005-0000-0000-000092160000}"/>
    <cellStyle name="Normal 6 2 3 3 2 2" xfId="1961" xr:uid="{00000000-0005-0000-0000-000093160000}"/>
    <cellStyle name="Normal 6 2 3 3 2 2 2" xfId="4083" xr:uid="{00000000-0005-0000-0000-000094160000}"/>
    <cellStyle name="Normal 6 2 3 3 2 2 2 2" xfId="8329" xr:uid="{00000000-0005-0000-0000-000095160000}"/>
    <cellStyle name="Normal 6 2 3 3 2 2 3" xfId="6207" xr:uid="{00000000-0005-0000-0000-000096160000}"/>
    <cellStyle name="Normal 6 2 3 3 2 3" xfId="3024" xr:uid="{00000000-0005-0000-0000-000097160000}"/>
    <cellStyle name="Normal 6 2 3 3 2 3 2" xfId="7270" xr:uid="{00000000-0005-0000-0000-000098160000}"/>
    <cellStyle name="Normal 6 2 3 3 2 4" xfId="5148" xr:uid="{00000000-0005-0000-0000-000099160000}"/>
    <cellStyle name="Normal 6 2 3 3 3" xfId="1432" xr:uid="{00000000-0005-0000-0000-00009A160000}"/>
    <cellStyle name="Normal 6 2 3 3 3 2" xfId="3554" xr:uid="{00000000-0005-0000-0000-00009B160000}"/>
    <cellStyle name="Normal 6 2 3 3 3 2 2" xfId="7800" xr:uid="{00000000-0005-0000-0000-00009C160000}"/>
    <cellStyle name="Normal 6 2 3 3 3 3" xfId="5678" xr:uid="{00000000-0005-0000-0000-00009D160000}"/>
    <cellStyle name="Normal 6 2 3 3 4" xfId="2495" xr:uid="{00000000-0005-0000-0000-00009E160000}"/>
    <cellStyle name="Normal 6 2 3 3 4 2" xfId="6741" xr:uid="{00000000-0005-0000-0000-00009F160000}"/>
    <cellStyle name="Normal 6 2 3 3 5" xfId="4619" xr:uid="{00000000-0005-0000-0000-0000A0160000}"/>
    <cellStyle name="Normal 6 2 3 4" xfId="639" xr:uid="{00000000-0005-0000-0000-0000A1160000}"/>
    <cellStyle name="Normal 6 2 3 4 2" xfId="1698" xr:uid="{00000000-0005-0000-0000-0000A2160000}"/>
    <cellStyle name="Normal 6 2 3 4 2 2" xfId="3820" xr:uid="{00000000-0005-0000-0000-0000A3160000}"/>
    <cellStyle name="Normal 6 2 3 4 2 2 2" xfId="8066" xr:uid="{00000000-0005-0000-0000-0000A4160000}"/>
    <cellStyle name="Normal 6 2 3 4 2 3" xfId="5944" xr:uid="{00000000-0005-0000-0000-0000A5160000}"/>
    <cellStyle name="Normal 6 2 3 4 3" xfId="2761" xr:uid="{00000000-0005-0000-0000-0000A6160000}"/>
    <cellStyle name="Normal 6 2 3 4 3 2" xfId="7007" xr:uid="{00000000-0005-0000-0000-0000A7160000}"/>
    <cellStyle name="Normal 6 2 3 4 4" xfId="4885" xr:uid="{00000000-0005-0000-0000-0000A8160000}"/>
    <cellStyle name="Normal 6 2 3 5" xfId="1169" xr:uid="{00000000-0005-0000-0000-0000A9160000}"/>
    <cellStyle name="Normal 6 2 3 5 2" xfId="3291" xr:uid="{00000000-0005-0000-0000-0000AA160000}"/>
    <cellStyle name="Normal 6 2 3 5 2 2" xfId="7537" xr:uid="{00000000-0005-0000-0000-0000AB160000}"/>
    <cellStyle name="Normal 6 2 3 5 3" xfId="5415" xr:uid="{00000000-0005-0000-0000-0000AC160000}"/>
    <cellStyle name="Normal 6 2 3 6" xfId="2232" xr:uid="{00000000-0005-0000-0000-0000AD160000}"/>
    <cellStyle name="Normal 6 2 3 6 2" xfId="6478" xr:uid="{00000000-0005-0000-0000-0000AE160000}"/>
    <cellStyle name="Normal 6 2 3 7" xfId="4356" xr:uid="{00000000-0005-0000-0000-0000AF160000}"/>
    <cellStyle name="Normal 6 2 4" xfId="66" xr:uid="{00000000-0005-0000-0000-0000B0160000}"/>
    <cellStyle name="Normal 6 2 4 2" xfId="198" xr:uid="{00000000-0005-0000-0000-0000B1160000}"/>
    <cellStyle name="Normal 6 2 4 2 2" xfId="461" xr:uid="{00000000-0005-0000-0000-0000B2160000}"/>
    <cellStyle name="Normal 6 2 4 2 2 2" xfId="991" xr:uid="{00000000-0005-0000-0000-0000B3160000}"/>
    <cellStyle name="Normal 6 2 4 2 2 2 2" xfId="2050" xr:uid="{00000000-0005-0000-0000-0000B4160000}"/>
    <cellStyle name="Normal 6 2 4 2 2 2 2 2" xfId="4172" xr:uid="{00000000-0005-0000-0000-0000B5160000}"/>
    <cellStyle name="Normal 6 2 4 2 2 2 2 2 2" xfId="8418" xr:uid="{00000000-0005-0000-0000-0000B6160000}"/>
    <cellStyle name="Normal 6 2 4 2 2 2 2 3" xfId="6296" xr:uid="{00000000-0005-0000-0000-0000B7160000}"/>
    <cellStyle name="Normal 6 2 4 2 2 2 3" xfId="3113" xr:uid="{00000000-0005-0000-0000-0000B8160000}"/>
    <cellStyle name="Normal 6 2 4 2 2 2 3 2" xfId="7359" xr:uid="{00000000-0005-0000-0000-0000B9160000}"/>
    <cellStyle name="Normal 6 2 4 2 2 2 4" xfId="5237" xr:uid="{00000000-0005-0000-0000-0000BA160000}"/>
    <cellStyle name="Normal 6 2 4 2 2 3" xfId="1521" xr:uid="{00000000-0005-0000-0000-0000BB160000}"/>
    <cellStyle name="Normal 6 2 4 2 2 3 2" xfId="3643" xr:uid="{00000000-0005-0000-0000-0000BC160000}"/>
    <cellStyle name="Normal 6 2 4 2 2 3 2 2" xfId="7889" xr:uid="{00000000-0005-0000-0000-0000BD160000}"/>
    <cellStyle name="Normal 6 2 4 2 2 3 3" xfId="5767" xr:uid="{00000000-0005-0000-0000-0000BE160000}"/>
    <cellStyle name="Normal 6 2 4 2 2 4" xfId="2584" xr:uid="{00000000-0005-0000-0000-0000BF160000}"/>
    <cellStyle name="Normal 6 2 4 2 2 4 2" xfId="6830" xr:uid="{00000000-0005-0000-0000-0000C0160000}"/>
    <cellStyle name="Normal 6 2 4 2 2 5" xfId="4708" xr:uid="{00000000-0005-0000-0000-0000C1160000}"/>
    <cellStyle name="Normal 6 2 4 2 3" xfId="728" xr:uid="{00000000-0005-0000-0000-0000C2160000}"/>
    <cellStyle name="Normal 6 2 4 2 3 2" xfId="1787" xr:uid="{00000000-0005-0000-0000-0000C3160000}"/>
    <cellStyle name="Normal 6 2 4 2 3 2 2" xfId="3909" xr:uid="{00000000-0005-0000-0000-0000C4160000}"/>
    <cellStyle name="Normal 6 2 4 2 3 2 2 2" xfId="8155" xr:uid="{00000000-0005-0000-0000-0000C5160000}"/>
    <cellStyle name="Normal 6 2 4 2 3 2 3" xfId="6033" xr:uid="{00000000-0005-0000-0000-0000C6160000}"/>
    <cellStyle name="Normal 6 2 4 2 3 3" xfId="2850" xr:uid="{00000000-0005-0000-0000-0000C7160000}"/>
    <cellStyle name="Normal 6 2 4 2 3 3 2" xfId="7096" xr:uid="{00000000-0005-0000-0000-0000C8160000}"/>
    <cellStyle name="Normal 6 2 4 2 3 4" xfId="4974" xr:uid="{00000000-0005-0000-0000-0000C9160000}"/>
    <cellStyle name="Normal 6 2 4 2 4" xfId="1258" xr:uid="{00000000-0005-0000-0000-0000CA160000}"/>
    <cellStyle name="Normal 6 2 4 2 4 2" xfId="3380" xr:uid="{00000000-0005-0000-0000-0000CB160000}"/>
    <cellStyle name="Normal 6 2 4 2 4 2 2" xfId="7626" xr:uid="{00000000-0005-0000-0000-0000CC160000}"/>
    <cellStyle name="Normal 6 2 4 2 4 3" xfId="5504" xr:uid="{00000000-0005-0000-0000-0000CD160000}"/>
    <cellStyle name="Normal 6 2 4 2 5" xfId="2321" xr:uid="{00000000-0005-0000-0000-0000CE160000}"/>
    <cellStyle name="Normal 6 2 4 2 5 2" xfId="6567" xr:uid="{00000000-0005-0000-0000-0000CF160000}"/>
    <cellStyle name="Normal 6 2 4 2 6" xfId="4445" xr:uid="{00000000-0005-0000-0000-0000D0160000}"/>
    <cellStyle name="Normal 6 2 4 3" xfId="330" xr:uid="{00000000-0005-0000-0000-0000D1160000}"/>
    <cellStyle name="Normal 6 2 4 3 2" xfId="860" xr:uid="{00000000-0005-0000-0000-0000D2160000}"/>
    <cellStyle name="Normal 6 2 4 3 2 2" xfId="1919" xr:uid="{00000000-0005-0000-0000-0000D3160000}"/>
    <cellStyle name="Normal 6 2 4 3 2 2 2" xfId="4041" xr:uid="{00000000-0005-0000-0000-0000D4160000}"/>
    <cellStyle name="Normal 6 2 4 3 2 2 2 2" xfId="8287" xr:uid="{00000000-0005-0000-0000-0000D5160000}"/>
    <cellStyle name="Normal 6 2 4 3 2 2 3" xfId="6165" xr:uid="{00000000-0005-0000-0000-0000D6160000}"/>
    <cellStyle name="Normal 6 2 4 3 2 3" xfId="2982" xr:uid="{00000000-0005-0000-0000-0000D7160000}"/>
    <cellStyle name="Normal 6 2 4 3 2 3 2" xfId="7228" xr:uid="{00000000-0005-0000-0000-0000D8160000}"/>
    <cellStyle name="Normal 6 2 4 3 2 4" xfId="5106" xr:uid="{00000000-0005-0000-0000-0000D9160000}"/>
    <cellStyle name="Normal 6 2 4 3 3" xfId="1390" xr:uid="{00000000-0005-0000-0000-0000DA160000}"/>
    <cellStyle name="Normal 6 2 4 3 3 2" xfId="3512" xr:uid="{00000000-0005-0000-0000-0000DB160000}"/>
    <cellStyle name="Normal 6 2 4 3 3 2 2" xfId="7758" xr:uid="{00000000-0005-0000-0000-0000DC160000}"/>
    <cellStyle name="Normal 6 2 4 3 3 3" xfId="5636" xr:uid="{00000000-0005-0000-0000-0000DD160000}"/>
    <cellStyle name="Normal 6 2 4 3 4" xfId="2453" xr:uid="{00000000-0005-0000-0000-0000DE160000}"/>
    <cellStyle name="Normal 6 2 4 3 4 2" xfId="6699" xr:uid="{00000000-0005-0000-0000-0000DF160000}"/>
    <cellStyle name="Normal 6 2 4 3 5" xfId="4577" xr:uid="{00000000-0005-0000-0000-0000E0160000}"/>
    <cellStyle name="Normal 6 2 4 4" xfId="597" xr:uid="{00000000-0005-0000-0000-0000E1160000}"/>
    <cellStyle name="Normal 6 2 4 4 2" xfId="1656" xr:uid="{00000000-0005-0000-0000-0000E2160000}"/>
    <cellStyle name="Normal 6 2 4 4 2 2" xfId="3778" xr:uid="{00000000-0005-0000-0000-0000E3160000}"/>
    <cellStyle name="Normal 6 2 4 4 2 2 2" xfId="8024" xr:uid="{00000000-0005-0000-0000-0000E4160000}"/>
    <cellStyle name="Normal 6 2 4 4 2 3" xfId="5902" xr:uid="{00000000-0005-0000-0000-0000E5160000}"/>
    <cellStyle name="Normal 6 2 4 4 3" xfId="2719" xr:uid="{00000000-0005-0000-0000-0000E6160000}"/>
    <cellStyle name="Normal 6 2 4 4 3 2" xfId="6965" xr:uid="{00000000-0005-0000-0000-0000E7160000}"/>
    <cellStyle name="Normal 6 2 4 4 4" xfId="4843" xr:uid="{00000000-0005-0000-0000-0000E8160000}"/>
    <cellStyle name="Normal 6 2 4 5" xfId="1127" xr:uid="{00000000-0005-0000-0000-0000E9160000}"/>
    <cellStyle name="Normal 6 2 4 5 2" xfId="3249" xr:uid="{00000000-0005-0000-0000-0000EA160000}"/>
    <cellStyle name="Normal 6 2 4 5 2 2" xfId="7495" xr:uid="{00000000-0005-0000-0000-0000EB160000}"/>
    <cellStyle name="Normal 6 2 4 5 3" xfId="5373" xr:uid="{00000000-0005-0000-0000-0000EC160000}"/>
    <cellStyle name="Normal 6 2 4 6" xfId="2190" xr:uid="{00000000-0005-0000-0000-0000ED160000}"/>
    <cellStyle name="Normal 6 2 4 6 2" xfId="6436" xr:uid="{00000000-0005-0000-0000-0000EE160000}"/>
    <cellStyle name="Normal 6 2 4 7" xfId="4314" xr:uid="{00000000-0005-0000-0000-0000EF160000}"/>
    <cellStyle name="Normal 6 2 5" xfId="155" xr:uid="{00000000-0005-0000-0000-0000F0160000}"/>
    <cellStyle name="Normal 6 2 5 2" xfId="418" xr:uid="{00000000-0005-0000-0000-0000F1160000}"/>
    <cellStyle name="Normal 6 2 5 2 2" xfId="948" xr:uid="{00000000-0005-0000-0000-0000F2160000}"/>
    <cellStyle name="Normal 6 2 5 2 2 2" xfId="2007" xr:uid="{00000000-0005-0000-0000-0000F3160000}"/>
    <cellStyle name="Normal 6 2 5 2 2 2 2" xfId="4129" xr:uid="{00000000-0005-0000-0000-0000F4160000}"/>
    <cellStyle name="Normal 6 2 5 2 2 2 2 2" xfId="8375" xr:uid="{00000000-0005-0000-0000-0000F5160000}"/>
    <cellStyle name="Normal 6 2 5 2 2 2 3" xfId="6253" xr:uid="{00000000-0005-0000-0000-0000F6160000}"/>
    <cellStyle name="Normal 6 2 5 2 2 3" xfId="3070" xr:uid="{00000000-0005-0000-0000-0000F7160000}"/>
    <cellStyle name="Normal 6 2 5 2 2 3 2" xfId="7316" xr:uid="{00000000-0005-0000-0000-0000F8160000}"/>
    <cellStyle name="Normal 6 2 5 2 2 4" xfId="5194" xr:uid="{00000000-0005-0000-0000-0000F9160000}"/>
    <cellStyle name="Normal 6 2 5 2 3" xfId="1478" xr:uid="{00000000-0005-0000-0000-0000FA160000}"/>
    <cellStyle name="Normal 6 2 5 2 3 2" xfId="3600" xr:uid="{00000000-0005-0000-0000-0000FB160000}"/>
    <cellStyle name="Normal 6 2 5 2 3 2 2" xfId="7846" xr:uid="{00000000-0005-0000-0000-0000FC160000}"/>
    <cellStyle name="Normal 6 2 5 2 3 3" xfId="5724" xr:uid="{00000000-0005-0000-0000-0000FD160000}"/>
    <cellStyle name="Normal 6 2 5 2 4" xfId="2541" xr:uid="{00000000-0005-0000-0000-0000FE160000}"/>
    <cellStyle name="Normal 6 2 5 2 4 2" xfId="6787" xr:uid="{00000000-0005-0000-0000-0000FF160000}"/>
    <cellStyle name="Normal 6 2 5 2 5" xfId="4665" xr:uid="{00000000-0005-0000-0000-000000170000}"/>
    <cellStyle name="Normal 6 2 5 3" xfId="685" xr:uid="{00000000-0005-0000-0000-000001170000}"/>
    <cellStyle name="Normal 6 2 5 3 2" xfId="1744" xr:uid="{00000000-0005-0000-0000-000002170000}"/>
    <cellStyle name="Normal 6 2 5 3 2 2" xfId="3866" xr:uid="{00000000-0005-0000-0000-000003170000}"/>
    <cellStyle name="Normal 6 2 5 3 2 2 2" xfId="8112" xr:uid="{00000000-0005-0000-0000-000004170000}"/>
    <cellStyle name="Normal 6 2 5 3 2 3" xfId="5990" xr:uid="{00000000-0005-0000-0000-000005170000}"/>
    <cellStyle name="Normal 6 2 5 3 3" xfId="2807" xr:uid="{00000000-0005-0000-0000-000006170000}"/>
    <cellStyle name="Normal 6 2 5 3 3 2" xfId="7053" xr:uid="{00000000-0005-0000-0000-000007170000}"/>
    <cellStyle name="Normal 6 2 5 3 4" xfId="4931" xr:uid="{00000000-0005-0000-0000-000008170000}"/>
    <cellStyle name="Normal 6 2 5 4" xfId="1215" xr:uid="{00000000-0005-0000-0000-000009170000}"/>
    <cellStyle name="Normal 6 2 5 4 2" xfId="3337" xr:uid="{00000000-0005-0000-0000-00000A170000}"/>
    <cellStyle name="Normal 6 2 5 4 2 2" xfId="7583" xr:uid="{00000000-0005-0000-0000-00000B170000}"/>
    <cellStyle name="Normal 6 2 5 4 3" xfId="5461" xr:uid="{00000000-0005-0000-0000-00000C170000}"/>
    <cellStyle name="Normal 6 2 5 5" xfId="2278" xr:uid="{00000000-0005-0000-0000-00000D170000}"/>
    <cellStyle name="Normal 6 2 5 5 2" xfId="6524" xr:uid="{00000000-0005-0000-0000-00000E170000}"/>
    <cellStyle name="Normal 6 2 5 6" xfId="4402" xr:uid="{00000000-0005-0000-0000-00000F170000}"/>
    <cellStyle name="Normal 6 2 6" xfId="287" xr:uid="{00000000-0005-0000-0000-000010170000}"/>
    <cellStyle name="Normal 6 2 6 2" xfId="817" xr:uid="{00000000-0005-0000-0000-000011170000}"/>
    <cellStyle name="Normal 6 2 6 2 2" xfId="1876" xr:uid="{00000000-0005-0000-0000-000012170000}"/>
    <cellStyle name="Normal 6 2 6 2 2 2" xfId="3998" xr:uid="{00000000-0005-0000-0000-000013170000}"/>
    <cellStyle name="Normal 6 2 6 2 2 2 2" xfId="8244" xr:uid="{00000000-0005-0000-0000-000014170000}"/>
    <cellStyle name="Normal 6 2 6 2 2 3" xfId="6122" xr:uid="{00000000-0005-0000-0000-000015170000}"/>
    <cellStyle name="Normal 6 2 6 2 3" xfId="2939" xr:uid="{00000000-0005-0000-0000-000016170000}"/>
    <cellStyle name="Normal 6 2 6 2 3 2" xfId="7185" xr:uid="{00000000-0005-0000-0000-000017170000}"/>
    <cellStyle name="Normal 6 2 6 2 4" xfId="5063" xr:uid="{00000000-0005-0000-0000-000018170000}"/>
    <cellStyle name="Normal 6 2 6 3" xfId="1347" xr:uid="{00000000-0005-0000-0000-000019170000}"/>
    <cellStyle name="Normal 6 2 6 3 2" xfId="3469" xr:uid="{00000000-0005-0000-0000-00001A170000}"/>
    <cellStyle name="Normal 6 2 6 3 2 2" xfId="7715" xr:uid="{00000000-0005-0000-0000-00001B170000}"/>
    <cellStyle name="Normal 6 2 6 3 3" xfId="5593" xr:uid="{00000000-0005-0000-0000-00001C170000}"/>
    <cellStyle name="Normal 6 2 6 4" xfId="2410" xr:uid="{00000000-0005-0000-0000-00001D170000}"/>
    <cellStyle name="Normal 6 2 6 4 2" xfId="6656" xr:uid="{00000000-0005-0000-0000-00001E170000}"/>
    <cellStyle name="Normal 6 2 6 5" xfId="4534" xr:uid="{00000000-0005-0000-0000-00001F170000}"/>
    <cellStyle name="Normal 6 2 7" xfId="554" xr:uid="{00000000-0005-0000-0000-000020170000}"/>
    <cellStyle name="Normal 6 2 7 2" xfId="1613" xr:uid="{00000000-0005-0000-0000-000021170000}"/>
    <cellStyle name="Normal 6 2 7 2 2" xfId="3735" xr:uid="{00000000-0005-0000-0000-000022170000}"/>
    <cellStyle name="Normal 6 2 7 2 2 2" xfId="7981" xr:uid="{00000000-0005-0000-0000-000023170000}"/>
    <cellStyle name="Normal 6 2 7 2 3" xfId="5859" xr:uid="{00000000-0005-0000-0000-000024170000}"/>
    <cellStyle name="Normal 6 2 7 3" xfId="2676" xr:uid="{00000000-0005-0000-0000-000025170000}"/>
    <cellStyle name="Normal 6 2 7 3 2" xfId="6922" xr:uid="{00000000-0005-0000-0000-000026170000}"/>
    <cellStyle name="Normal 6 2 7 4" xfId="4800" xr:uid="{00000000-0005-0000-0000-000027170000}"/>
    <cellStyle name="Normal 6 2 8" xfId="1084" xr:uid="{00000000-0005-0000-0000-000028170000}"/>
    <cellStyle name="Normal 6 2 8 2" xfId="3206" xr:uid="{00000000-0005-0000-0000-000029170000}"/>
    <cellStyle name="Normal 6 2 8 2 2" xfId="7452" xr:uid="{00000000-0005-0000-0000-00002A170000}"/>
    <cellStyle name="Normal 6 2 8 3" xfId="5330" xr:uid="{00000000-0005-0000-0000-00002B170000}"/>
    <cellStyle name="Normal 6 2 9" xfId="2147" xr:uid="{00000000-0005-0000-0000-00002C170000}"/>
    <cellStyle name="Normal 6 2 9 2" xfId="6393" xr:uid="{00000000-0005-0000-0000-00002D170000}"/>
    <cellStyle name="Normal 6 3" xfId="33" xr:uid="{00000000-0005-0000-0000-00002E170000}"/>
    <cellStyle name="Normal 6 3 2" xfId="119" xr:uid="{00000000-0005-0000-0000-00002F170000}"/>
    <cellStyle name="Normal 6 3 2 2" xfId="250" xr:uid="{00000000-0005-0000-0000-000030170000}"/>
    <cellStyle name="Normal 6 3 2 2 2" xfId="513" xr:uid="{00000000-0005-0000-0000-000031170000}"/>
    <cellStyle name="Normal 6 3 2 2 2 2" xfId="1043" xr:uid="{00000000-0005-0000-0000-000032170000}"/>
    <cellStyle name="Normal 6 3 2 2 2 2 2" xfId="2102" xr:uid="{00000000-0005-0000-0000-000033170000}"/>
    <cellStyle name="Normal 6 3 2 2 2 2 2 2" xfId="4224" xr:uid="{00000000-0005-0000-0000-000034170000}"/>
    <cellStyle name="Normal 6 3 2 2 2 2 2 2 2" xfId="8470" xr:uid="{00000000-0005-0000-0000-000035170000}"/>
    <cellStyle name="Normal 6 3 2 2 2 2 2 3" xfId="6348" xr:uid="{00000000-0005-0000-0000-000036170000}"/>
    <cellStyle name="Normal 6 3 2 2 2 2 3" xfId="3165" xr:uid="{00000000-0005-0000-0000-000037170000}"/>
    <cellStyle name="Normal 6 3 2 2 2 2 3 2" xfId="7411" xr:uid="{00000000-0005-0000-0000-000038170000}"/>
    <cellStyle name="Normal 6 3 2 2 2 2 4" xfId="5289" xr:uid="{00000000-0005-0000-0000-000039170000}"/>
    <cellStyle name="Normal 6 3 2 2 2 3" xfId="1573" xr:uid="{00000000-0005-0000-0000-00003A170000}"/>
    <cellStyle name="Normal 6 3 2 2 2 3 2" xfId="3695" xr:uid="{00000000-0005-0000-0000-00003B170000}"/>
    <cellStyle name="Normal 6 3 2 2 2 3 2 2" xfId="7941" xr:uid="{00000000-0005-0000-0000-00003C170000}"/>
    <cellStyle name="Normal 6 3 2 2 2 3 3" xfId="5819" xr:uid="{00000000-0005-0000-0000-00003D170000}"/>
    <cellStyle name="Normal 6 3 2 2 2 4" xfId="2636" xr:uid="{00000000-0005-0000-0000-00003E170000}"/>
    <cellStyle name="Normal 6 3 2 2 2 4 2" xfId="6882" xr:uid="{00000000-0005-0000-0000-00003F170000}"/>
    <cellStyle name="Normal 6 3 2 2 2 5" xfId="4760" xr:uid="{00000000-0005-0000-0000-000040170000}"/>
    <cellStyle name="Normal 6 3 2 2 3" xfId="780" xr:uid="{00000000-0005-0000-0000-000041170000}"/>
    <cellStyle name="Normal 6 3 2 2 3 2" xfId="1839" xr:uid="{00000000-0005-0000-0000-000042170000}"/>
    <cellStyle name="Normal 6 3 2 2 3 2 2" xfId="3961" xr:uid="{00000000-0005-0000-0000-000043170000}"/>
    <cellStyle name="Normal 6 3 2 2 3 2 2 2" xfId="8207" xr:uid="{00000000-0005-0000-0000-000044170000}"/>
    <cellStyle name="Normal 6 3 2 2 3 2 3" xfId="6085" xr:uid="{00000000-0005-0000-0000-000045170000}"/>
    <cellStyle name="Normal 6 3 2 2 3 3" xfId="2902" xr:uid="{00000000-0005-0000-0000-000046170000}"/>
    <cellStyle name="Normal 6 3 2 2 3 3 2" xfId="7148" xr:uid="{00000000-0005-0000-0000-000047170000}"/>
    <cellStyle name="Normal 6 3 2 2 3 4" xfId="5026" xr:uid="{00000000-0005-0000-0000-000048170000}"/>
    <cellStyle name="Normal 6 3 2 2 4" xfId="1310" xr:uid="{00000000-0005-0000-0000-000049170000}"/>
    <cellStyle name="Normal 6 3 2 2 4 2" xfId="3432" xr:uid="{00000000-0005-0000-0000-00004A170000}"/>
    <cellStyle name="Normal 6 3 2 2 4 2 2" xfId="7678" xr:uid="{00000000-0005-0000-0000-00004B170000}"/>
    <cellStyle name="Normal 6 3 2 2 4 3" xfId="5556" xr:uid="{00000000-0005-0000-0000-00004C170000}"/>
    <cellStyle name="Normal 6 3 2 2 5" xfId="2373" xr:uid="{00000000-0005-0000-0000-00004D170000}"/>
    <cellStyle name="Normal 6 3 2 2 5 2" xfId="6619" xr:uid="{00000000-0005-0000-0000-00004E170000}"/>
    <cellStyle name="Normal 6 3 2 2 6" xfId="4497" xr:uid="{00000000-0005-0000-0000-00004F170000}"/>
    <cellStyle name="Normal 6 3 2 3" xfId="382" xr:uid="{00000000-0005-0000-0000-000050170000}"/>
    <cellStyle name="Normal 6 3 2 3 2" xfId="912" xr:uid="{00000000-0005-0000-0000-000051170000}"/>
    <cellStyle name="Normal 6 3 2 3 2 2" xfId="1971" xr:uid="{00000000-0005-0000-0000-000052170000}"/>
    <cellStyle name="Normal 6 3 2 3 2 2 2" xfId="4093" xr:uid="{00000000-0005-0000-0000-000053170000}"/>
    <cellStyle name="Normal 6 3 2 3 2 2 2 2" xfId="8339" xr:uid="{00000000-0005-0000-0000-000054170000}"/>
    <cellStyle name="Normal 6 3 2 3 2 2 3" xfId="6217" xr:uid="{00000000-0005-0000-0000-000055170000}"/>
    <cellStyle name="Normal 6 3 2 3 2 3" xfId="3034" xr:uid="{00000000-0005-0000-0000-000056170000}"/>
    <cellStyle name="Normal 6 3 2 3 2 3 2" xfId="7280" xr:uid="{00000000-0005-0000-0000-000057170000}"/>
    <cellStyle name="Normal 6 3 2 3 2 4" xfId="5158" xr:uid="{00000000-0005-0000-0000-000058170000}"/>
    <cellStyle name="Normal 6 3 2 3 3" xfId="1442" xr:uid="{00000000-0005-0000-0000-000059170000}"/>
    <cellStyle name="Normal 6 3 2 3 3 2" xfId="3564" xr:uid="{00000000-0005-0000-0000-00005A170000}"/>
    <cellStyle name="Normal 6 3 2 3 3 2 2" xfId="7810" xr:uid="{00000000-0005-0000-0000-00005B170000}"/>
    <cellStyle name="Normal 6 3 2 3 3 3" xfId="5688" xr:uid="{00000000-0005-0000-0000-00005C170000}"/>
    <cellStyle name="Normal 6 3 2 3 4" xfId="2505" xr:uid="{00000000-0005-0000-0000-00005D170000}"/>
    <cellStyle name="Normal 6 3 2 3 4 2" xfId="6751" xr:uid="{00000000-0005-0000-0000-00005E170000}"/>
    <cellStyle name="Normal 6 3 2 3 5" xfId="4629" xr:uid="{00000000-0005-0000-0000-00005F170000}"/>
    <cellStyle name="Normal 6 3 2 4" xfId="649" xr:uid="{00000000-0005-0000-0000-000060170000}"/>
    <cellStyle name="Normal 6 3 2 4 2" xfId="1708" xr:uid="{00000000-0005-0000-0000-000061170000}"/>
    <cellStyle name="Normal 6 3 2 4 2 2" xfId="3830" xr:uid="{00000000-0005-0000-0000-000062170000}"/>
    <cellStyle name="Normal 6 3 2 4 2 2 2" xfId="8076" xr:uid="{00000000-0005-0000-0000-000063170000}"/>
    <cellStyle name="Normal 6 3 2 4 2 3" xfId="5954" xr:uid="{00000000-0005-0000-0000-000064170000}"/>
    <cellStyle name="Normal 6 3 2 4 3" xfId="2771" xr:uid="{00000000-0005-0000-0000-000065170000}"/>
    <cellStyle name="Normal 6 3 2 4 3 2" xfId="7017" xr:uid="{00000000-0005-0000-0000-000066170000}"/>
    <cellStyle name="Normal 6 3 2 4 4" xfId="4895" xr:uid="{00000000-0005-0000-0000-000067170000}"/>
    <cellStyle name="Normal 6 3 2 5" xfId="1179" xr:uid="{00000000-0005-0000-0000-000068170000}"/>
    <cellStyle name="Normal 6 3 2 5 2" xfId="3301" xr:uid="{00000000-0005-0000-0000-000069170000}"/>
    <cellStyle name="Normal 6 3 2 5 2 2" xfId="7547" xr:uid="{00000000-0005-0000-0000-00006A170000}"/>
    <cellStyle name="Normal 6 3 2 5 3" xfId="5425" xr:uid="{00000000-0005-0000-0000-00006B170000}"/>
    <cellStyle name="Normal 6 3 2 6" xfId="2242" xr:uid="{00000000-0005-0000-0000-00006C170000}"/>
    <cellStyle name="Normal 6 3 2 6 2" xfId="6488" xr:uid="{00000000-0005-0000-0000-00006D170000}"/>
    <cellStyle name="Normal 6 3 2 7" xfId="4366" xr:uid="{00000000-0005-0000-0000-00006E170000}"/>
    <cellStyle name="Normal 6 3 3" xfId="76" xr:uid="{00000000-0005-0000-0000-00006F170000}"/>
    <cellStyle name="Normal 6 3 3 2" xfId="208" xr:uid="{00000000-0005-0000-0000-000070170000}"/>
    <cellStyle name="Normal 6 3 3 2 2" xfId="471" xr:uid="{00000000-0005-0000-0000-000071170000}"/>
    <cellStyle name="Normal 6 3 3 2 2 2" xfId="1001" xr:uid="{00000000-0005-0000-0000-000072170000}"/>
    <cellStyle name="Normal 6 3 3 2 2 2 2" xfId="2060" xr:uid="{00000000-0005-0000-0000-000073170000}"/>
    <cellStyle name="Normal 6 3 3 2 2 2 2 2" xfId="4182" xr:uid="{00000000-0005-0000-0000-000074170000}"/>
    <cellStyle name="Normal 6 3 3 2 2 2 2 2 2" xfId="8428" xr:uid="{00000000-0005-0000-0000-000075170000}"/>
    <cellStyle name="Normal 6 3 3 2 2 2 2 3" xfId="6306" xr:uid="{00000000-0005-0000-0000-000076170000}"/>
    <cellStyle name="Normal 6 3 3 2 2 2 3" xfId="3123" xr:uid="{00000000-0005-0000-0000-000077170000}"/>
    <cellStyle name="Normal 6 3 3 2 2 2 3 2" xfId="7369" xr:uid="{00000000-0005-0000-0000-000078170000}"/>
    <cellStyle name="Normal 6 3 3 2 2 2 4" xfId="5247" xr:uid="{00000000-0005-0000-0000-000079170000}"/>
    <cellStyle name="Normal 6 3 3 2 2 3" xfId="1531" xr:uid="{00000000-0005-0000-0000-00007A170000}"/>
    <cellStyle name="Normal 6 3 3 2 2 3 2" xfId="3653" xr:uid="{00000000-0005-0000-0000-00007B170000}"/>
    <cellStyle name="Normal 6 3 3 2 2 3 2 2" xfId="7899" xr:uid="{00000000-0005-0000-0000-00007C170000}"/>
    <cellStyle name="Normal 6 3 3 2 2 3 3" xfId="5777" xr:uid="{00000000-0005-0000-0000-00007D170000}"/>
    <cellStyle name="Normal 6 3 3 2 2 4" xfId="2594" xr:uid="{00000000-0005-0000-0000-00007E170000}"/>
    <cellStyle name="Normal 6 3 3 2 2 4 2" xfId="6840" xr:uid="{00000000-0005-0000-0000-00007F170000}"/>
    <cellStyle name="Normal 6 3 3 2 2 5" xfId="4718" xr:uid="{00000000-0005-0000-0000-000080170000}"/>
    <cellStyle name="Normal 6 3 3 2 3" xfId="738" xr:uid="{00000000-0005-0000-0000-000081170000}"/>
    <cellStyle name="Normal 6 3 3 2 3 2" xfId="1797" xr:uid="{00000000-0005-0000-0000-000082170000}"/>
    <cellStyle name="Normal 6 3 3 2 3 2 2" xfId="3919" xr:uid="{00000000-0005-0000-0000-000083170000}"/>
    <cellStyle name="Normal 6 3 3 2 3 2 2 2" xfId="8165" xr:uid="{00000000-0005-0000-0000-000084170000}"/>
    <cellStyle name="Normal 6 3 3 2 3 2 3" xfId="6043" xr:uid="{00000000-0005-0000-0000-000085170000}"/>
    <cellStyle name="Normal 6 3 3 2 3 3" xfId="2860" xr:uid="{00000000-0005-0000-0000-000086170000}"/>
    <cellStyle name="Normal 6 3 3 2 3 3 2" xfId="7106" xr:uid="{00000000-0005-0000-0000-000087170000}"/>
    <cellStyle name="Normal 6 3 3 2 3 4" xfId="4984" xr:uid="{00000000-0005-0000-0000-000088170000}"/>
    <cellStyle name="Normal 6 3 3 2 4" xfId="1268" xr:uid="{00000000-0005-0000-0000-000089170000}"/>
    <cellStyle name="Normal 6 3 3 2 4 2" xfId="3390" xr:uid="{00000000-0005-0000-0000-00008A170000}"/>
    <cellStyle name="Normal 6 3 3 2 4 2 2" xfId="7636" xr:uid="{00000000-0005-0000-0000-00008B170000}"/>
    <cellStyle name="Normal 6 3 3 2 4 3" xfId="5514" xr:uid="{00000000-0005-0000-0000-00008C170000}"/>
    <cellStyle name="Normal 6 3 3 2 5" xfId="2331" xr:uid="{00000000-0005-0000-0000-00008D170000}"/>
    <cellStyle name="Normal 6 3 3 2 5 2" xfId="6577" xr:uid="{00000000-0005-0000-0000-00008E170000}"/>
    <cellStyle name="Normal 6 3 3 2 6" xfId="4455" xr:uid="{00000000-0005-0000-0000-00008F170000}"/>
    <cellStyle name="Normal 6 3 3 3" xfId="340" xr:uid="{00000000-0005-0000-0000-000090170000}"/>
    <cellStyle name="Normal 6 3 3 3 2" xfId="870" xr:uid="{00000000-0005-0000-0000-000091170000}"/>
    <cellStyle name="Normal 6 3 3 3 2 2" xfId="1929" xr:uid="{00000000-0005-0000-0000-000092170000}"/>
    <cellStyle name="Normal 6 3 3 3 2 2 2" xfId="4051" xr:uid="{00000000-0005-0000-0000-000093170000}"/>
    <cellStyle name="Normal 6 3 3 3 2 2 2 2" xfId="8297" xr:uid="{00000000-0005-0000-0000-000094170000}"/>
    <cellStyle name="Normal 6 3 3 3 2 2 3" xfId="6175" xr:uid="{00000000-0005-0000-0000-000095170000}"/>
    <cellStyle name="Normal 6 3 3 3 2 3" xfId="2992" xr:uid="{00000000-0005-0000-0000-000096170000}"/>
    <cellStyle name="Normal 6 3 3 3 2 3 2" xfId="7238" xr:uid="{00000000-0005-0000-0000-000097170000}"/>
    <cellStyle name="Normal 6 3 3 3 2 4" xfId="5116" xr:uid="{00000000-0005-0000-0000-000098170000}"/>
    <cellStyle name="Normal 6 3 3 3 3" xfId="1400" xr:uid="{00000000-0005-0000-0000-000099170000}"/>
    <cellStyle name="Normal 6 3 3 3 3 2" xfId="3522" xr:uid="{00000000-0005-0000-0000-00009A170000}"/>
    <cellStyle name="Normal 6 3 3 3 3 2 2" xfId="7768" xr:uid="{00000000-0005-0000-0000-00009B170000}"/>
    <cellStyle name="Normal 6 3 3 3 3 3" xfId="5646" xr:uid="{00000000-0005-0000-0000-00009C170000}"/>
    <cellStyle name="Normal 6 3 3 3 4" xfId="2463" xr:uid="{00000000-0005-0000-0000-00009D170000}"/>
    <cellStyle name="Normal 6 3 3 3 4 2" xfId="6709" xr:uid="{00000000-0005-0000-0000-00009E170000}"/>
    <cellStyle name="Normal 6 3 3 3 5" xfId="4587" xr:uid="{00000000-0005-0000-0000-00009F170000}"/>
    <cellStyle name="Normal 6 3 3 4" xfId="607" xr:uid="{00000000-0005-0000-0000-0000A0170000}"/>
    <cellStyle name="Normal 6 3 3 4 2" xfId="1666" xr:uid="{00000000-0005-0000-0000-0000A1170000}"/>
    <cellStyle name="Normal 6 3 3 4 2 2" xfId="3788" xr:uid="{00000000-0005-0000-0000-0000A2170000}"/>
    <cellStyle name="Normal 6 3 3 4 2 2 2" xfId="8034" xr:uid="{00000000-0005-0000-0000-0000A3170000}"/>
    <cellStyle name="Normal 6 3 3 4 2 3" xfId="5912" xr:uid="{00000000-0005-0000-0000-0000A4170000}"/>
    <cellStyle name="Normal 6 3 3 4 3" xfId="2729" xr:uid="{00000000-0005-0000-0000-0000A5170000}"/>
    <cellStyle name="Normal 6 3 3 4 3 2" xfId="6975" xr:uid="{00000000-0005-0000-0000-0000A6170000}"/>
    <cellStyle name="Normal 6 3 3 4 4" xfId="4853" xr:uid="{00000000-0005-0000-0000-0000A7170000}"/>
    <cellStyle name="Normal 6 3 3 5" xfId="1137" xr:uid="{00000000-0005-0000-0000-0000A8170000}"/>
    <cellStyle name="Normal 6 3 3 5 2" xfId="3259" xr:uid="{00000000-0005-0000-0000-0000A9170000}"/>
    <cellStyle name="Normal 6 3 3 5 2 2" xfId="7505" xr:uid="{00000000-0005-0000-0000-0000AA170000}"/>
    <cellStyle name="Normal 6 3 3 5 3" xfId="5383" xr:uid="{00000000-0005-0000-0000-0000AB170000}"/>
    <cellStyle name="Normal 6 3 3 6" xfId="2200" xr:uid="{00000000-0005-0000-0000-0000AC170000}"/>
    <cellStyle name="Normal 6 3 3 6 2" xfId="6446" xr:uid="{00000000-0005-0000-0000-0000AD170000}"/>
    <cellStyle name="Normal 6 3 3 7" xfId="4324" xr:uid="{00000000-0005-0000-0000-0000AE170000}"/>
    <cellStyle name="Normal 6 3 4" xfId="165" xr:uid="{00000000-0005-0000-0000-0000AF170000}"/>
    <cellStyle name="Normal 6 3 4 2" xfId="428" xr:uid="{00000000-0005-0000-0000-0000B0170000}"/>
    <cellStyle name="Normal 6 3 4 2 2" xfId="958" xr:uid="{00000000-0005-0000-0000-0000B1170000}"/>
    <cellStyle name="Normal 6 3 4 2 2 2" xfId="2017" xr:uid="{00000000-0005-0000-0000-0000B2170000}"/>
    <cellStyle name="Normal 6 3 4 2 2 2 2" xfId="4139" xr:uid="{00000000-0005-0000-0000-0000B3170000}"/>
    <cellStyle name="Normal 6 3 4 2 2 2 2 2" xfId="8385" xr:uid="{00000000-0005-0000-0000-0000B4170000}"/>
    <cellStyle name="Normal 6 3 4 2 2 2 3" xfId="6263" xr:uid="{00000000-0005-0000-0000-0000B5170000}"/>
    <cellStyle name="Normal 6 3 4 2 2 3" xfId="3080" xr:uid="{00000000-0005-0000-0000-0000B6170000}"/>
    <cellStyle name="Normal 6 3 4 2 2 3 2" xfId="7326" xr:uid="{00000000-0005-0000-0000-0000B7170000}"/>
    <cellStyle name="Normal 6 3 4 2 2 4" xfId="5204" xr:uid="{00000000-0005-0000-0000-0000B8170000}"/>
    <cellStyle name="Normal 6 3 4 2 3" xfId="1488" xr:uid="{00000000-0005-0000-0000-0000B9170000}"/>
    <cellStyle name="Normal 6 3 4 2 3 2" xfId="3610" xr:uid="{00000000-0005-0000-0000-0000BA170000}"/>
    <cellStyle name="Normal 6 3 4 2 3 2 2" xfId="7856" xr:uid="{00000000-0005-0000-0000-0000BB170000}"/>
    <cellStyle name="Normal 6 3 4 2 3 3" xfId="5734" xr:uid="{00000000-0005-0000-0000-0000BC170000}"/>
    <cellStyle name="Normal 6 3 4 2 4" xfId="2551" xr:uid="{00000000-0005-0000-0000-0000BD170000}"/>
    <cellStyle name="Normal 6 3 4 2 4 2" xfId="6797" xr:uid="{00000000-0005-0000-0000-0000BE170000}"/>
    <cellStyle name="Normal 6 3 4 2 5" xfId="4675" xr:uid="{00000000-0005-0000-0000-0000BF170000}"/>
    <cellStyle name="Normal 6 3 4 3" xfId="695" xr:uid="{00000000-0005-0000-0000-0000C0170000}"/>
    <cellStyle name="Normal 6 3 4 3 2" xfId="1754" xr:uid="{00000000-0005-0000-0000-0000C1170000}"/>
    <cellStyle name="Normal 6 3 4 3 2 2" xfId="3876" xr:uid="{00000000-0005-0000-0000-0000C2170000}"/>
    <cellStyle name="Normal 6 3 4 3 2 2 2" xfId="8122" xr:uid="{00000000-0005-0000-0000-0000C3170000}"/>
    <cellStyle name="Normal 6 3 4 3 2 3" xfId="6000" xr:uid="{00000000-0005-0000-0000-0000C4170000}"/>
    <cellStyle name="Normal 6 3 4 3 3" xfId="2817" xr:uid="{00000000-0005-0000-0000-0000C5170000}"/>
    <cellStyle name="Normal 6 3 4 3 3 2" xfId="7063" xr:uid="{00000000-0005-0000-0000-0000C6170000}"/>
    <cellStyle name="Normal 6 3 4 3 4" xfId="4941" xr:uid="{00000000-0005-0000-0000-0000C7170000}"/>
    <cellStyle name="Normal 6 3 4 4" xfId="1225" xr:uid="{00000000-0005-0000-0000-0000C8170000}"/>
    <cellStyle name="Normal 6 3 4 4 2" xfId="3347" xr:uid="{00000000-0005-0000-0000-0000C9170000}"/>
    <cellStyle name="Normal 6 3 4 4 2 2" xfId="7593" xr:uid="{00000000-0005-0000-0000-0000CA170000}"/>
    <cellStyle name="Normal 6 3 4 4 3" xfId="5471" xr:uid="{00000000-0005-0000-0000-0000CB170000}"/>
    <cellStyle name="Normal 6 3 4 5" xfId="2288" xr:uid="{00000000-0005-0000-0000-0000CC170000}"/>
    <cellStyle name="Normal 6 3 4 5 2" xfId="6534" xr:uid="{00000000-0005-0000-0000-0000CD170000}"/>
    <cellStyle name="Normal 6 3 4 6" xfId="4412" xr:uid="{00000000-0005-0000-0000-0000CE170000}"/>
    <cellStyle name="Normal 6 3 5" xfId="297" xr:uid="{00000000-0005-0000-0000-0000CF170000}"/>
    <cellStyle name="Normal 6 3 5 2" xfId="827" xr:uid="{00000000-0005-0000-0000-0000D0170000}"/>
    <cellStyle name="Normal 6 3 5 2 2" xfId="1886" xr:uid="{00000000-0005-0000-0000-0000D1170000}"/>
    <cellStyle name="Normal 6 3 5 2 2 2" xfId="4008" xr:uid="{00000000-0005-0000-0000-0000D2170000}"/>
    <cellStyle name="Normal 6 3 5 2 2 2 2" xfId="8254" xr:uid="{00000000-0005-0000-0000-0000D3170000}"/>
    <cellStyle name="Normal 6 3 5 2 2 3" xfId="6132" xr:uid="{00000000-0005-0000-0000-0000D4170000}"/>
    <cellStyle name="Normal 6 3 5 2 3" xfId="2949" xr:uid="{00000000-0005-0000-0000-0000D5170000}"/>
    <cellStyle name="Normal 6 3 5 2 3 2" xfId="7195" xr:uid="{00000000-0005-0000-0000-0000D6170000}"/>
    <cellStyle name="Normal 6 3 5 2 4" xfId="5073" xr:uid="{00000000-0005-0000-0000-0000D7170000}"/>
    <cellStyle name="Normal 6 3 5 3" xfId="1357" xr:uid="{00000000-0005-0000-0000-0000D8170000}"/>
    <cellStyle name="Normal 6 3 5 3 2" xfId="3479" xr:uid="{00000000-0005-0000-0000-0000D9170000}"/>
    <cellStyle name="Normal 6 3 5 3 2 2" xfId="7725" xr:uid="{00000000-0005-0000-0000-0000DA170000}"/>
    <cellStyle name="Normal 6 3 5 3 3" xfId="5603" xr:uid="{00000000-0005-0000-0000-0000DB170000}"/>
    <cellStyle name="Normal 6 3 5 4" xfId="2420" xr:uid="{00000000-0005-0000-0000-0000DC170000}"/>
    <cellStyle name="Normal 6 3 5 4 2" xfId="6666" xr:uid="{00000000-0005-0000-0000-0000DD170000}"/>
    <cellStyle name="Normal 6 3 5 5" xfId="4544" xr:uid="{00000000-0005-0000-0000-0000DE170000}"/>
    <cellStyle name="Normal 6 3 6" xfId="564" xr:uid="{00000000-0005-0000-0000-0000DF170000}"/>
    <cellStyle name="Normal 6 3 6 2" xfId="1623" xr:uid="{00000000-0005-0000-0000-0000E0170000}"/>
    <cellStyle name="Normal 6 3 6 2 2" xfId="3745" xr:uid="{00000000-0005-0000-0000-0000E1170000}"/>
    <cellStyle name="Normal 6 3 6 2 2 2" xfId="7991" xr:uid="{00000000-0005-0000-0000-0000E2170000}"/>
    <cellStyle name="Normal 6 3 6 2 3" xfId="5869" xr:uid="{00000000-0005-0000-0000-0000E3170000}"/>
    <cellStyle name="Normal 6 3 6 3" xfId="2686" xr:uid="{00000000-0005-0000-0000-0000E4170000}"/>
    <cellStyle name="Normal 6 3 6 3 2" xfId="6932" xr:uid="{00000000-0005-0000-0000-0000E5170000}"/>
    <cellStyle name="Normal 6 3 6 4" xfId="4810" xr:uid="{00000000-0005-0000-0000-0000E6170000}"/>
    <cellStyle name="Normal 6 3 7" xfId="1094" xr:uid="{00000000-0005-0000-0000-0000E7170000}"/>
    <cellStyle name="Normal 6 3 7 2" xfId="3216" xr:uid="{00000000-0005-0000-0000-0000E8170000}"/>
    <cellStyle name="Normal 6 3 7 2 2" xfId="7462" xr:uid="{00000000-0005-0000-0000-0000E9170000}"/>
    <cellStyle name="Normal 6 3 7 3" xfId="5340" xr:uid="{00000000-0005-0000-0000-0000EA170000}"/>
    <cellStyle name="Normal 6 3 8" xfId="2157" xr:uid="{00000000-0005-0000-0000-0000EB170000}"/>
    <cellStyle name="Normal 6 3 8 2" xfId="6403" xr:uid="{00000000-0005-0000-0000-0000EC170000}"/>
    <cellStyle name="Normal 6 3 9" xfId="4281" xr:uid="{00000000-0005-0000-0000-0000ED170000}"/>
    <cellStyle name="Normal 6 4" xfId="99" xr:uid="{00000000-0005-0000-0000-0000EE170000}"/>
    <cellStyle name="Normal 6 4 2" xfId="230" xr:uid="{00000000-0005-0000-0000-0000EF170000}"/>
    <cellStyle name="Normal 6 4 2 2" xfId="493" xr:uid="{00000000-0005-0000-0000-0000F0170000}"/>
    <cellStyle name="Normal 6 4 2 2 2" xfId="1023" xr:uid="{00000000-0005-0000-0000-0000F1170000}"/>
    <cellStyle name="Normal 6 4 2 2 2 2" xfId="2082" xr:uid="{00000000-0005-0000-0000-0000F2170000}"/>
    <cellStyle name="Normal 6 4 2 2 2 2 2" xfId="4204" xr:uid="{00000000-0005-0000-0000-0000F3170000}"/>
    <cellStyle name="Normal 6 4 2 2 2 2 2 2" xfId="8450" xr:uid="{00000000-0005-0000-0000-0000F4170000}"/>
    <cellStyle name="Normal 6 4 2 2 2 2 3" xfId="6328" xr:uid="{00000000-0005-0000-0000-0000F5170000}"/>
    <cellStyle name="Normal 6 4 2 2 2 3" xfId="3145" xr:uid="{00000000-0005-0000-0000-0000F6170000}"/>
    <cellStyle name="Normal 6 4 2 2 2 3 2" xfId="7391" xr:uid="{00000000-0005-0000-0000-0000F7170000}"/>
    <cellStyle name="Normal 6 4 2 2 2 4" xfId="5269" xr:uid="{00000000-0005-0000-0000-0000F8170000}"/>
    <cellStyle name="Normal 6 4 2 2 3" xfId="1553" xr:uid="{00000000-0005-0000-0000-0000F9170000}"/>
    <cellStyle name="Normal 6 4 2 2 3 2" xfId="3675" xr:uid="{00000000-0005-0000-0000-0000FA170000}"/>
    <cellStyle name="Normal 6 4 2 2 3 2 2" xfId="7921" xr:uid="{00000000-0005-0000-0000-0000FB170000}"/>
    <cellStyle name="Normal 6 4 2 2 3 3" xfId="5799" xr:uid="{00000000-0005-0000-0000-0000FC170000}"/>
    <cellStyle name="Normal 6 4 2 2 4" xfId="2616" xr:uid="{00000000-0005-0000-0000-0000FD170000}"/>
    <cellStyle name="Normal 6 4 2 2 4 2" xfId="6862" xr:uid="{00000000-0005-0000-0000-0000FE170000}"/>
    <cellStyle name="Normal 6 4 2 2 5" xfId="4740" xr:uid="{00000000-0005-0000-0000-0000FF170000}"/>
    <cellStyle name="Normal 6 4 2 3" xfId="760" xr:uid="{00000000-0005-0000-0000-000000180000}"/>
    <cellStyle name="Normal 6 4 2 3 2" xfId="1819" xr:uid="{00000000-0005-0000-0000-000001180000}"/>
    <cellStyle name="Normal 6 4 2 3 2 2" xfId="3941" xr:uid="{00000000-0005-0000-0000-000002180000}"/>
    <cellStyle name="Normal 6 4 2 3 2 2 2" xfId="8187" xr:uid="{00000000-0005-0000-0000-000003180000}"/>
    <cellStyle name="Normal 6 4 2 3 2 3" xfId="6065" xr:uid="{00000000-0005-0000-0000-000004180000}"/>
    <cellStyle name="Normal 6 4 2 3 3" xfId="2882" xr:uid="{00000000-0005-0000-0000-000005180000}"/>
    <cellStyle name="Normal 6 4 2 3 3 2" xfId="7128" xr:uid="{00000000-0005-0000-0000-000006180000}"/>
    <cellStyle name="Normal 6 4 2 3 4" xfId="5006" xr:uid="{00000000-0005-0000-0000-000007180000}"/>
    <cellStyle name="Normal 6 4 2 4" xfId="1290" xr:uid="{00000000-0005-0000-0000-000008180000}"/>
    <cellStyle name="Normal 6 4 2 4 2" xfId="3412" xr:uid="{00000000-0005-0000-0000-000009180000}"/>
    <cellStyle name="Normal 6 4 2 4 2 2" xfId="7658" xr:uid="{00000000-0005-0000-0000-00000A180000}"/>
    <cellStyle name="Normal 6 4 2 4 3" xfId="5536" xr:uid="{00000000-0005-0000-0000-00000B180000}"/>
    <cellStyle name="Normal 6 4 2 5" xfId="2353" xr:uid="{00000000-0005-0000-0000-00000C180000}"/>
    <cellStyle name="Normal 6 4 2 5 2" xfId="6599" xr:uid="{00000000-0005-0000-0000-00000D180000}"/>
    <cellStyle name="Normal 6 4 2 6" xfId="4477" xr:uid="{00000000-0005-0000-0000-00000E180000}"/>
    <cellStyle name="Normal 6 4 3" xfId="362" xr:uid="{00000000-0005-0000-0000-00000F180000}"/>
    <cellStyle name="Normal 6 4 3 2" xfId="892" xr:uid="{00000000-0005-0000-0000-000010180000}"/>
    <cellStyle name="Normal 6 4 3 2 2" xfId="1951" xr:uid="{00000000-0005-0000-0000-000011180000}"/>
    <cellStyle name="Normal 6 4 3 2 2 2" xfId="4073" xr:uid="{00000000-0005-0000-0000-000012180000}"/>
    <cellStyle name="Normal 6 4 3 2 2 2 2" xfId="8319" xr:uid="{00000000-0005-0000-0000-000013180000}"/>
    <cellStyle name="Normal 6 4 3 2 2 3" xfId="6197" xr:uid="{00000000-0005-0000-0000-000014180000}"/>
    <cellStyle name="Normal 6 4 3 2 3" xfId="3014" xr:uid="{00000000-0005-0000-0000-000015180000}"/>
    <cellStyle name="Normal 6 4 3 2 3 2" xfId="7260" xr:uid="{00000000-0005-0000-0000-000016180000}"/>
    <cellStyle name="Normal 6 4 3 2 4" xfId="5138" xr:uid="{00000000-0005-0000-0000-000017180000}"/>
    <cellStyle name="Normal 6 4 3 3" xfId="1422" xr:uid="{00000000-0005-0000-0000-000018180000}"/>
    <cellStyle name="Normal 6 4 3 3 2" xfId="3544" xr:uid="{00000000-0005-0000-0000-000019180000}"/>
    <cellStyle name="Normal 6 4 3 3 2 2" xfId="7790" xr:uid="{00000000-0005-0000-0000-00001A180000}"/>
    <cellStyle name="Normal 6 4 3 3 3" xfId="5668" xr:uid="{00000000-0005-0000-0000-00001B180000}"/>
    <cellStyle name="Normal 6 4 3 4" xfId="2485" xr:uid="{00000000-0005-0000-0000-00001C180000}"/>
    <cellStyle name="Normal 6 4 3 4 2" xfId="6731" xr:uid="{00000000-0005-0000-0000-00001D180000}"/>
    <cellStyle name="Normal 6 4 3 5" xfId="4609" xr:uid="{00000000-0005-0000-0000-00001E180000}"/>
    <cellStyle name="Normal 6 4 4" xfId="629" xr:uid="{00000000-0005-0000-0000-00001F180000}"/>
    <cellStyle name="Normal 6 4 4 2" xfId="1688" xr:uid="{00000000-0005-0000-0000-000020180000}"/>
    <cellStyle name="Normal 6 4 4 2 2" xfId="3810" xr:uid="{00000000-0005-0000-0000-000021180000}"/>
    <cellStyle name="Normal 6 4 4 2 2 2" xfId="8056" xr:uid="{00000000-0005-0000-0000-000022180000}"/>
    <cellStyle name="Normal 6 4 4 2 3" xfId="5934" xr:uid="{00000000-0005-0000-0000-000023180000}"/>
    <cellStyle name="Normal 6 4 4 3" xfId="2751" xr:uid="{00000000-0005-0000-0000-000024180000}"/>
    <cellStyle name="Normal 6 4 4 3 2" xfId="6997" xr:uid="{00000000-0005-0000-0000-000025180000}"/>
    <cellStyle name="Normal 6 4 4 4" xfId="4875" xr:uid="{00000000-0005-0000-0000-000026180000}"/>
    <cellStyle name="Normal 6 4 5" xfId="1159" xr:uid="{00000000-0005-0000-0000-000027180000}"/>
    <cellStyle name="Normal 6 4 5 2" xfId="3281" xr:uid="{00000000-0005-0000-0000-000028180000}"/>
    <cellStyle name="Normal 6 4 5 2 2" xfId="7527" xr:uid="{00000000-0005-0000-0000-000029180000}"/>
    <cellStyle name="Normal 6 4 5 3" xfId="5405" xr:uid="{00000000-0005-0000-0000-00002A180000}"/>
    <cellStyle name="Normal 6 4 6" xfId="2222" xr:uid="{00000000-0005-0000-0000-00002B180000}"/>
    <cellStyle name="Normal 6 4 6 2" xfId="6468" xr:uid="{00000000-0005-0000-0000-00002C180000}"/>
    <cellStyle name="Normal 6 4 7" xfId="4346" xr:uid="{00000000-0005-0000-0000-00002D180000}"/>
    <cellStyle name="Normal 6 5" xfId="56" xr:uid="{00000000-0005-0000-0000-00002E180000}"/>
    <cellStyle name="Normal 6 5 2" xfId="188" xr:uid="{00000000-0005-0000-0000-00002F180000}"/>
    <cellStyle name="Normal 6 5 2 2" xfId="451" xr:uid="{00000000-0005-0000-0000-000030180000}"/>
    <cellStyle name="Normal 6 5 2 2 2" xfId="981" xr:uid="{00000000-0005-0000-0000-000031180000}"/>
    <cellStyle name="Normal 6 5 2 2 2 2" xfId="2040" xr:uid="{00000000-0005-0000-0000-000032180000}"/>
    <cellStyle name="Normal 6 5 2 2 2 2 2" xfId="4162" xr:uid="{00000000-0005-0000-0000-000033180000}"/>
    <cellStyle name="Normal 6 5 2 2 2 2 2 2" xfId="8408" xr:uid="{00000000-0005-0000-0000-000034180000}"/>
    <cellStyle name="Normal 6 5 2 2 2 2 3" xfId="6286" xr:uid="{00000000-0005-0000-0000-000035180000}"/>
    <cellStyle name="Normal 6 5 2 2 2 3" xfId="3103" xr:uid="{00000000-0005-0000-0000-000036180000}"/>
    <cellStyle name="Normal 6 5 2 2 2 3 2" xfId="7349" xr:uid="{00000000-0005-0000-0000-000037180000}"/>
    <cellStyle name="Normal 6 5 2 2 2 4" xfId="5227" xr:uid="{00000000-0005-0000-0000-000038180000}"/>
    <cellStyle name="Normal 6 5 2 2 3" xfId="1511" xr:uid="{00000000-0005-0000-0000-000039180000}"/>
    <cellStyle name="Normal 6 5 2 2 3 2" xfId="3633" xr:uid="{00000000-0005-0000-0000-00003A180000}"/>
    <cellStyle name="Normal 6 5 2 2 3 2 2" xfId="7879" xr:uid="{00000000-0005-0000-0000-00003B180000}"/>
    <cellStyle name="Normal 6 5 2 2 3 3" xfId="5757" xr:uid="{00000000-0005-0000-0000-00003C180000}"/>
    <cellStyle name="Normal 6 5 2 2 4" xfId="2574" xr:uid="{00000000-0005-0000-0000-00003D180000}"/>
    <cellStyle name="Normal 6 5 2 2 4 2" xfId="6820" xr:uid="{00000000-0005-0000-0000-00003E180000}"/>
    <cellStyle name="Normal 6 5 2 2 5" xfId="4698" xr:uid="{00000000-0005-0000-0000-00003F180000}"/>
    <cellStyle name="Normal 6 5 2 3" xfId="718" xr:uid="{00000000-0005-0000-0000-000040180000}"/>
    <cellStyle name="Normal 6 5 2 3 2" xfId="1777" xr:uid="{00000000-0005-0000-0000-000041180000}"/>
    <cellStyle name="Normal 6 5 2 3 2 2" xfId="3899" xr:uid="{00000000-0005-0000-0000-000042180000}"/>
    <cellStyle name="Normal 6 5 2 3 2 2 2" xfId="8145" xr:uid="{00000000-0005-0000-0000-000043180000}"/>
    <cellStyle name="Normal 6 5 2 3 2 3" xfId="6023" xr:uid="{00000000-0005-0000-0000-000044180000}"/>
    <cellStyle name="Normal 6 5 2 3 3" xfId="2840" xr:uid="{00000000-0005-0000-0000-000045180000}"/>
    <cellStyle name="Normal 6 5 2 3 3 2" xfId="7086" xr:uid="{00000000-0005-0000-0000-000046180000}"/>
    <cellStyle name="Normal 6 5 2 3 4" xfId="4964" xr:uid="{00000000-0005-0000-0000-000047180000}"/>
    <cellStyle name="Normal 6 5 2 4" xfId="1248" xr:uid="{00000000-0005-0000-0000-000048180000}"/>
    <cellStyle name="Normal 6 5 2 4 2" xfId="3370" xr:uid="{00000000-0005-0000-0000-000049180000}"/>
    <cellStyle name="Normal 6 5 2 4 2 2" xfId="7616" xr:uid="{00000000-0005-0000-0000-00004A180000}"/>
    <cellStyle name="Normal 6 5 2 4 3" xfId="5494" xr:uid="{00000000-0005-0000-0000-00004B180000}"/>
    <cellStyle name="Normal 6 5 2 5" xfId="2311" xr:uid="{00000000-0005-0000-0000-00004C180000}"/>
    <cellStyle name="Normal 6 5 2 5 2" xfId="6557" xr:uid="{00000000-0005-0000-0000-00004D180000}"/>
    <cellStyle name="Normal 6 5 2 6" xfId="4435" xr:uid="{00000000-0005-0000-0000-00004E180000}"/>
    <cellStyle name="Normal 6 5 3" xfId="320" xr:uid="{00000000-0005-0000-0000-00004F180000}"/>
    <cellStyle name="Normal 6 5 3 2" xfId="850" xr:uid="{00000000-0005-0000-0000-000050180000}"/>
    <cellStyle name="Normal 6 5 3 2 2" xfId="1909" xr:uid="{00000000-0005-0000-0000-000051180000}"/>
    <cellStyle name="Normal 6 5 3 2 2 2" xfId="4031" xr:uid="{00000000-0005-0000-0000-000052180000}"/>
    <cellStyle name="Normal 6 5 3 2 2 2 2" xfId="8277" xr:uid="{00000000-0005-0000-0000-000053180000}"/>
    <cellStyle name="Normal 6 5 3 2 2 3" xfId="6155" xr:uid="{00000000-0005-0000-0000-000054180000}"/>
    <cellStyle name="Normal 6 5 3 2 3" xfId="2972" xr:uid="{00000000-0005-0000-0000-000055180000}"/>
    <cellStyle name="Normal 6 5 3 2 3 2" xfId="7218" xr:uid="{00000000-0005-0000-0000-000056180000}"/>
    <cellStyle name="Normal 6 5 3 2 4" xfId="5096" xr:uid="{00000000-0005-0000-0000-000057180000}"/>
    <cellStyle name="Normal 6 5 3 3" xfId="1380" xr:uid="{00000000-0005-0000-0000-000058180000}"/>
    <cellStyle name="Normal 6 5 3 3 2" xfId="3502" xr:uid="{00000000-0005-0000-0000-000059180000}"/>
    <cellStyle name="Normal 6 5 3 3 2 2" xfId="7748" xr:uid="{00000000-0005-0000-0000-00005A180000}"/>
    <cellStyle name="Normal 6 5 3 3 3" xfId="5626" xr:uid="{00000000-0005-0000-0000-00005B180000}"/>
    <cellStyle name="Normal 6 5 3 4" xfId="2443" xr:uid="{00000000-0005-0000-0000-00005C180000}"/>
    <cellStyle name="Normal 6 5 3 4 2" xfId="6689" xr:uid="{00000000-0005-0000-0000-00005D180000}"/>
    <cellStyle name="Normal 6 5 3 5" xfId="4567" xr:uid="{00000000-0005-0000-0000-00005E180000}"/>
    <cellStyle name="Normal 6 5 4" xfId="587" xr:uid="{00000000-0005-0000-0000-00005F180000}"/>
    <cellStyle name="Normal 6 5 4 2" xfId="1646" xr:uid="{00000000-0005-0000-0000-000060180000}"/>
    <cellStyle name="Normal 6 5 4 2 2" xfId="3768" xr:uid="{00000000-0005-0000-0000-000061180000}"/>
    <cellStyle name="Normal 6 5 4 2 2 2" xfId="8014" xr:uid="{00000000-0005-0000-0000-000062180000}"/>
    <cellStyle name="Normal 6 5 4 2 3" xfId="5892" xr:uid="{00000000-0005-0000-0000-000063180000}"/>
    <cellStyle name="Normal 6 5 4 3" xfId="2709" xr:uid="{00000000-0005-0000-0000-000064180000}"/>
    <cellStyle name="Normal 6 5 4 3 2" xfId="6955" xr:uid="{00000000-0005-0000-0000-000065180000}"/>
    <cellStyle name="Normal 6 5 4 4" xfId="4833" xr:uid="{00000000-0005-0000-0000-000066180000}"/>
    <cellStyle name="Normal 6 5 5" xfId="1117" xr:uid="{00000000-0005-0000-0000-000067180000}"/>
    <cellStyle name="Normal 6 5 5 2" xfId="3239" xr:uid="{00000000-0005-0000-0000-000068180000}"/>
    <cellStyle name="Normal 6 5 5 2 2" xfId="7485" xr:uid="{00000000-0005-0000-0000-000069180000}"/>
    <cellStyle name="Normal 6 5 5 3" xfId="5363" xr:uid="{00000000-0005-0000-0000-00006A180000}"/>
    <cellStyle name="Normal 6 5 6" xfId="2180" xr:uid="{00000000-0005-0000-0000-00006B180000}"/>
    <cellStyle name="Normal 6 5 6 2" xfId="6426" xr:uid="{00000000-0005-0000-0000-00006C180000}"/>
    <cellStyle name="Normal 6 5 7" xfId="4304" xr:uid="{00000000-0005-0000-0000-00006D180000}"/>
    <cellStyle name="Normal 6 6" xfId="144" xr:uid="{00000000-0005-0000-0000-00006E180000}"/>
    <cellStyle name="Normal 6 6 2" xfId="407" xr:uid="{00000000-0005-0000-0000-00006F180000}"/>
    <cellStyle name="Normal 6 6 2 2" xfId="937" xr:uid="{00000000-0005-0000-0000-000070180000}"/>
    <cellStyle name="Normal 6 6 2 2 2" xfId="1996" xr:uid="{00000000-0005-0000-0000-000071180000}"/>
    <cellStyle name="Normal 6 6 2 2 2 2" xfId="4118" xr:uid="{00000000-0005-0000-0000-000072180000}"/>
    <cellStyle name="Normal 6 6 2 2 2 2 2" xfId="8364" xr:uid="{00000000-0005-0000-0000-000073180000}"/>
    <cellStyle name="Normal 6 6 2 2 2 3" xfId="6242" xr:uid="{00000000-0005-0000-0000-000074180000}"/>
    <cellStyle name="Normal 6 6 2 2 3" xfId="3059" xr:uid="{00000000-0005-0000-0000-000075180000}"/>
    <cellStyle name="Normal 6 6 2 2 3 2" xfId="7305" xr:uid="{00000000-0005-0000-0000-000076180000}"/>
    <cellStyle name="Normal 6 6 2 2 4" xfId="5183" xr:uid="{00000000-0005-0000-0000-000077180000}"/>
    <cellStyle name="Normal 6 6 2 3" xfId="1467" xr:uid="{00000000-0005-0000-0000-000078180000}"/>
    <cellStyle name="Normal 6 6 2 3 2" xfId="3589" xr:uid="{00000000-0005-0000-0000-000079180000}"/>
    <cellStyle name="Normal 6 6 2 3 2 2" xfId="7835" xr:uid="{00000000-0005-0000-0000-00007A180000}"/>
    <cellStyle name="Normal 6 6 2 3 3" xfId="5713" xr:uid="{00000000-0005-0000-0000-00007B180000}"/>
    <cellStyle name="Normal 6 6 2 4" xfId="2530" xr:uid="{00000000-0005-0000-0000-00007C180000}"/>
    <cellStyle name="Normal 6 6 2 4 2" xfId="6776" xr:uid="{00000000-0005-0000-0000-00007D180000}"/>
    <cellStyle name="Normal 6 6 2 5" xfId="4654" xr:uid="{00000000-0005-0000-0000-00007E180000}"/>
    <cellStyle name="Normal 6 6 3" xfId="674" xr:uid="{00000000-0005-0000-0000-00007F180000}"/>
    <cellStyle name="Normal 6 6 3 2" xfId="1733" xr:uid="{00000000-0005-0000-0000-000080180000}"/>
    <cellStyle name="Normal 6 6 3 2 2" xfId="3855" xr:uid="{00000000-0005-0000-0000-000081180000}"/>
    <cellStyle name="Normal 6 6 3 2 2 2" xfId="8101" xr:uid="{00000000-0005-0000-0000-000082180000}"/>
    <cellStyle name="Normal 6 6 3 2 3" xfId="5979" xr:uid="{00000000-0005-0000-0000-000083180000}"/>
    <cellStyle name="Normal 6 6 3 3" xfId="2796" xr:uid="{00000000-0005-0000-0000-000084180000}"/>
    <cellStyle name="Normal 6 6 3 3 2" xfId="7042" xr:uid="{00000000-0005-0000-0000-000085180000}"/>
    <cellStyle name="Normal 6 6 3 4" xfId="4920" xr:uid="{00000000-0005-0000-0000-000086180000}"/>
    <cellStyle name="Normal 6 6 4" xfId="1204" xr:uid="{00000000-0005-0000-0000-000087180000}"/>
    <cellStyle name="Normal 6 6 4 2" xfId="3326" xr:uid="{00000000-0005-0000-0000-000088180000}"/>
    <cellStyle name="Normal 6 6 4 2 2" xfId="7572" xr:uid="{00000000-0005-0000-0000-000089180000}"/>
    <cellStyle name="Normal 6 6 4 3" xfId="5450" xr:uid="{00000000-0005-0000-0000-00008A180000}"/>
    <cellStyle name="Normal 6 6 5" xfId="2267" xr:uid="{00000000-0005-0000-0000-00008B180000}"/>
    <cellStyle name="Normal 6 6 5 2" xfId="6513" xr:uid="{00000000-0005-0000-0000-00008C180000}"/>
    <cellStyle name="Normal 6 6 6" xfId="4391" xr:uid="{00000000-0005-0000-0000-00008D180000}"/>
    <cellStyle name="Normal 6 7" xfId="276" xr:uid="{00000000-0005-0000-0000-00008E180000}"/>
    <cellStyle name="Normal 6 7 2" xfId="806" xr:uid="{00000000-0005-0000-0000-00008F180000}"/>
    <cellStyle name="Normal 6 7 2 2" xfId="1865" xr:uid="{00000000-0005-0000-0000-000090180000}"/>
    <cellStyle name="Normal 6 7 2 2 2" xfId="3987" xr:uid="{00000000-0005-0000-0000-000091180000}"/>
    <cellStyle name="Normal 6 7 2 2 2 2" xfId="8233" xr:uid="{00000000-0005-0000-0000-000092180000}"/>
    <cellStyle name="Normal 6 7 2 2 3" xfId="6111" xr:uid="{00000000-0005-0000-0000-000093180000}"/>
    <cellStyle name="Normal 6 7 2 3" xfId="2928" xr:uid="{00000000-0005-0000-0000-000094180000}"/>
    <cellStyle name="Normal 6 7 2 3 2" xfId="7174" xr:uid="{00000000-0005-0000-0000-000095180000}"/>
    <cellStyle name="Normal 6 7 2 4" xfId="5052" xr:uid="{00000000-0005-0000-0000-000096180000}"/>
    <cellStyle name="Normal 6 7 3" xfId="1336" xr:uid="{00000000-0005-0000-0000-000097180000}"/>
    <cellStyle name="Normal 6 7 3 2" xfId="3458" xr:uid="{00000000-0005-0000-0000-000098180000}"/>
    <cellStyle name="Normal 6 7 3 2 2" xfId="7704" xr:uid="{00000000-0005-0000-0000-000099180000}"/>
    <cellStyle name="Normal 6 7 3 3" xfId="5582" xr:uid="{00000000-0005-0000-0000-00009A180000}"/>
    <cellStyle name="Normal 6 7 4" xfId="2399" xr:uid="{00000000-0005-0000-0000-00009B180000}"/>
    <cellStyle name="Normal 6 7 4 2" xfId="6645" xr:uid="{00000000-0005-0000-0000-00009C180000}"/>
    <cellStyle name="Normal 6 7 5" xfId="4523" xr:uid="{00000000-0005-0000-0000-00009D180000}"/>
    <cellStyle name="Normal 6 8" xfId="542" xr:uid="{00000000-0005-0000-0000-00009E180000}"/>
    <cellStyle name="Normal 6 8 2" xfId="1601" xr:uid="{00000000-0005-0000-0000-00009F180000}"/>
    <cellStyle name="Normal 6 8 2 2" xfId="3723" xr:uid="{00000000-0005-0000-0000-0000A0180000}"/>
    <cellStyle name="Normal 6 8 2 2 2" xfId="7969" xr:uid="{00000000-0005-0000-0000-0000A1180000}"/>
    <cellStyle name="Normal 6 8 2 3" xfId="5847" xr:uid="{00000000-0005-0000-0000-0000A2180000}"/>
    <cellStyle name="Normal 6 8 3" xfId="2664" xr:uid="{00000000-0005-0000-0000-0000A3180000}"/>
    <cellStyle name="Normal 6 8 3 2" xfId="6910" xr:uid="{00000000-0005-0000-0000-0000A4180000}"/>
    <cellStyle name="Normal 6 8 4" xfId="4788" xr:uid="{00000000-0005-0000-0000-0000A5180000}"/>
    <cellStyle name="Normal 6 9" xfId="1072" xr:uid="{00000000-0005-0000-0000-0000A6180000}"/>
    <cellStyle name="Normal 6 9 2" xfId="3194" xr:uid="{00000000-0005-0000-0000-0000A7180000}"/>
    <cellStyle name="Normal 6 9 2 2" xfId="7440" xr:uid="{00000000-0005-0000-0000-0000A8180000}"/>
    <cellStyle name="Normal 6 9 3" xfId="5318" xr:uid="{00000000-0005-0000-0000-0000A9180000}"/>
    <cellStyle name="Normal 7" xfId="13" xr:uid="{00000000-0005-0000-0000-0000AA180000}"/>
    <cellStyle name="Normal 7 10" xfId="2137" xr:uid="{00000000-0005-0000-0000-0000AB180000}"/>
    <cellStyle name="Normal 7 10 2" xfId="6383" xr:uid="{00000000-0005-0000-0000-0000AC180000}"/>
    <cellStyle name="Normal 7 11" xfId="4261" xr:uid="{00000000-0005-0000-0000-0000AD180000}"/>
    <cellStyle name="Normal 7 2" xfId="24" xr:uid="{00000000-0005-0000-0000-0000AE180000}"/>
    <cellStyle name="Normal 7 2 10" xfId="4272" xr:uid="{00000000-0005-0000-0000-0000AF180000}"/>
    <cellStyle name="Normal 7 2 2" xfId="45" xr:uid="{00000000-0005-0000-0000-0000B0180000}"/>
    <cellStyle name="Normal 7 2 2 2" xfId="131" xr:uid="{00000000-0005-0000-0000-0000B1180000}"/>
    <cellStyle name="Normal 7 2 2 2 2" xfId="262" xr:uid="{00000000-0005-0000-0000-0000B2180000}"/>
    <cellStyle name="Normal 7 2 2 2 2 2" xfId="525" xr:uid="{00000000-0005-0000-0000-0000B3180000}"/>
    <cellStyle name="Normal 7 2 2 2 2 2 2" xfId="1055" xr:uid="{00000000-0005-0000-0000-0000B4180000}"/>
    <cellStyle name="Normal 7 2 2 2 2 2 2 2" xfId="2114" xr:uid="{00000000-0005-0000-0000-0000B5180000}"/>
    <cellStyle name="Normal 7 2 2 2 2 2 2 2 2" xfId="4236" xr:uid="{00000000-0005-0000-0000-0000B6180000}"/>
    <cellStyle name="Normal 7 2 2 2 2 2 2 2 2 2" xfId="8482" xr:uid="{00000000-0005-0000-0000-0000B7180000}"/>
    <cellStyle name="Normal 7 2 2 2 2 2 2 2 3" xfId="6360" xr:uid="{00000000-0005-0000-0000-0000B8180000}"/>
    <cellStyle name="Normal 7 2 2 2 2 2 2 3" xfId="3177" xr:uid="{00000000-0005-0000-0000-0000B9180000}"/>
    <cellStyle name="Normal 7 2 2 2 2 2 2 3 2" xfId="7423" xr:uid="{00000000-0005-0000-0000-0000BA180000}"/>
    <cellStyle name="Normal 7 2 2 2 2 2 2 4" xfId="5301" xr:uid="{00000000-0005-0000-0000-0000BB180000}"/>
    <cellStyle name="Normal 7 2 2 2 2 2 3" xfId="1585" xr:uid="{00000000-0005-0000-0000-0000BC180000}"/>
    <cellStyle name="Normal 7 2 2 2 2 2 3 2" xfId="3707" xr:uid="{00000000-0005-0000-0000-0000BD180000}"/>
    <cellStyle name="Normal 7 2 2 2 2 2 3 2 2" xfId="7953" xr:uid="{00000000-0005-0000-0000-0000BE180000}"/>
    <cellStyle name="Normal 7 2 2 2 2 2 3 3" xfId="5831" xr:uid="{00000000-0005-0000-0000-0000BF180000}"/>
    <cellStyle name="Normal 7 2 2 2 2 2 4" xfId="2648" xr:uid="{00000000-0005-0000-0000-0000C0180000}"/>
    <cellStyle name="Normal 7 2 2 2 2 2 4 2" xfId="6894" xr:uid="{00000000-0005-0000-0000-0000C1180000}"/>
    <cellStyle name="Normal 7 2 2 2 2 2 5" xfId="4772" xr:uid="{00000000-0005-0000-0000-0000C2180000}"/>
    <cellStyle name="Normal 7 2 2 2 2 3" xfId="792" xr:uid="{00000000-0005-0000-0000-0000C3180000}"/>
    <cellStyle name="Normal 7 2 2 2 2 3 2" xfId="1851" xr:uid="{00000000-0005-0000-0000-0000C4180000}"/>
    <cellStyle name="Normal 7 2 2 2 2 3 2 2" xfId="3973" xr:uid="{00000000-0005-0000-0000-0000C5180000}"/>
    <cellStyle name="Normal 7 2 2 2 2 3 2 2 2" xfId="8219" xr:uid="{00000000-0005-0000-0000-0000C6180000}"/>
    <cellStyle name="Normal 7 2 2 2 2 3 2 3" xfId="6097" xr:uid="{00000000-0005-0000-0000-0000C7180000}"/>
    <cellStyle name="Normal 7 2 2 2 2 3 3" xfId="2914" xr:uid="{00000000-0005-0000-0000-0000C8180000}"/>
    <cellStyle name="Normal 7 2 2 2 2 3 3 2" xfId="7160" xr:uid="{00000000-0005-0000-0000-0000C9180000}"/>
    <cellStyle name="Normal 7 2 2 2 2 3 4" xfId="5038" xr:uid="{00000000-0005-0000-0000-0000CA180000}"/>
    <cellStyle name="Normal 7 2 2 2 2 4" xfId="1322" xr:uid="{00000000-0005-0000-0000-0000CB180000}"/>
    <cellStyle name="Normal 7 2 2 2 2 4 2" xfId="3444" xr:uid="{00000000-0005-0000-0000-0000CC180000}"/>
    <cellStyle name="Normal 7 2 2 2 2 4 2 2" xfId="7690" xr:uid="{00000000-0005-0000-0000-0000CD180000}"/>
    <cellStyle name="Normal 7 2 2 2 2 4 3" xfId="5568" xr:uid="{00000000-0005-0000-0000-0000CE180000}"/>
    <cellStyle name="Normal 7 2 2 2 2 5" xfId="2385" xr:uid="{00000000-0005-0000-0000-0000CF180000}"/>
    <cellStyle name="Normal 7 2 2 2 2 5 2" xfId="6631" xr:uid="{00000000-0005-0000-0000-0000D0180000}"/>
    <cellStyle name="Normal 7 2 2 2 2 6" xfId="4509" xr:uid="{00000000-0005-0000-0000-0000D1180000}"/>
    <cellStyle name="Normal 7 2 2 2 3" xfId="394" xr:uid="{00000000-0005-0000-0000-0000D2180000}"/>
    <cellStyle name="Normal 7 2 2 2 3 2" xfId="924" xr:uid="{00000000-0005-0000-0000-0000D3180000}"/>
    <cellStyle name="Normal 7 2 2 2 3 2 2" xfId="1983" xr:uid="{00000000-0005-0000-0000-0000D4180000}"/>
    <cellStyle name="Normal 7 2 2 2 3 2 2 2" xfId="4105" xr:uid="{00000000-0005-0000-0000-0000D5180000}"/>
    <cellStyle name="Normal 7 2 2 2 3 2 2 2 2" xfId="8351" xr:uid="{00000000-0005-0000-0000-0000D6180000}"/>
    <cellStyle name="Normal 7 2 2 2 3 2 2 3" xfId="6229" xr:uid="{00000000-0005-0000-0000-0000D7180000}"/>
    <cellStyle name="Normal 7 2 2 2 3 2 3" xfId="3046" xr:uid="{00000000-0005-0000-0000-0000D8180000}"/>
    <cellStyle name="Normal 7 2 2 2 3 2 3 2" xfId="7292" xr:uid="{00000000-0005-0000-0000-0000D9180000}"/>
    <cellStyle name="Normal 7 2 2 2 3 2 4" xfId="5170" xr:uid="{00000000-0005-0000-0000-0000DA180000}"/>
    <cellStyle name="Normal 7 2 2 2 3 3" xfId="1454" xr:uid="{00000000-0005-0000-0000-0000DB180000}"/>
    <cellStyle name="Normal 7 2 2 2 3 3 2" xfId="3576" xr:uid="{00000000-0005-0000-0000-0000DC180000}"/>
    <cellStyle name="Normal 7 2 2 2 3 3 2 2" xfId="7822" xr:uid="{00000000-0005-0000-0000-0000DD180000}"/>
    <cellStyle name="Normal 7 2 2 2 3 3 3" xfId="5700" xr:uid="{00000000-0005-0000-0000-0000DE180000}"/>
    <cellStyle name="Normal 7 2 2 2 3 4" xfId="2517" xr:uid="{00000000-0005-0000-0000-0000DF180000}"/>
    <cellStyle name="Normal 7 2 2 2 3 4 2" xfId="6763" xr:uid="{00000000-0005-0000-0000-0000E0180000}"/>
    <cellStyle name="Normal 7 2 2 2 3 5" xfId="4641" xr:uid="{00000000-0005-0000-0000-0000E1180000}"/>
    <cellStyle name="Normal 7 2 2 2 4" xfId="661" xr:uid="{00000000-0005-0000-0000-0000E2180000}"/>
    <cellStyle name="Normal 7 2 2 2 4 2" xfId="1720" xr:uid="{00000000-0005-0000-0000-0000E3180000}"/>
    <cellStyle name="Normal 7 2 2 2 4 2 2" xfId="3842" xr:uid="{00000000-0005-0000-0000-0000E4180000}"/>
    <cellStyle name="Normal 7 2 2 2 4 2 2 2" xfId="8088" xr:uid="{00000000-0005-0000-0000-0000E5180000}"/>
    <cellStyle name="Normal 7 2 2 2 4 2 3" xfId="5966" xr:uid="{00000000-0005-0000-0000-0000E6180000}"/>
    <cellStyle name="Normal 7 2 2 2 4 3" xfId="2783" xr:uid="{00000000-0005-0000-0000-0000E7180000}"/>
    <cellStyle name="Normal 7 2 2 2 4 3 2" xfId="7029" xr:uid="{00000000-0005-0000-0000-0000E8180000}"/>
    <cellStyle name="Normal 7 2 2 2 4 4" xfId="4907" xr:uid="{00000000-0005-0000-0000-0000E9180000}"/>
    <cellStyle name="Normal 7 2 2 2 5" xfId="1191" xr:uid="{00000000-0005-0000-0000-0000EA180000}"/>
    <cellStyle name="Normal 7 2 2 2 5 2" xfId="3313" xr:uid="{00000000-0005-0000-0000-0000EB180000}"/>
    <cellStyle name="Normal 7 2 2 2 5 2 2" xfId="7559" xr:uid="{00000000-0005-0000-0000-0000EC180000}"/>
    <cellStyle name="Normal 7 2 2 2 5 3" xfId="5437" xr:uid="{00000000-0005-0000-0000-0000ED180000}"/>
    <cellStyle name="Normal 7 2 2 2 6" xfId="2254" xr:uid="{00000000-0005-0000-0000-0000EE180000}"/>
    <cellStyle name="Normal 7 2 2 2 6 2" xfId="6500" xr:uid="{00000000-0005-0000-0000-0000EF180000}"/>
    <cellStyle name="Normal 7 2 2 2 7" xfId="4378" xr:uid="{00000000-0005-0000-0000-0000F0180000}"/>
    <cellStyle name="Normal 7 2 2 3" xfId="88" xr:uid="{00000000-0005-0000-0000-0000F1180000}"/>
    <cellStyle name="Normal 7 2 2 3 2" xfId="220" xr:uid="{00000000-0005-0000-0000-0000F2180000}"/>
    <cellStyle name="Normal 7 2 2 3 2 2" xfId="483" xr:uid="{00000000-0005-0000-0000-0000F3180000}"/>
    <cellStyle name="Normal 7 2 2 3 2 2 2" xfId="1013" xr:uid="{00000000-0005-0000-0000-0000F4180000}"/>
    <cellStyle name="Normal 7 2 2 3 2 2 2 2" xfId="2072" xr:uid="{00000000-0005-0000-0000-0000F5180000}"/>
    <cellStyle name="Normal 7 2 2 3 2 2 2 2 2" xfId="4194" xr:uid="{00000000-0005-0000-0000-0000F6180000}"/>
    <cellStyle name="Normal 7 2 2 3 2 2 2 2 2 2" xfId="8440" xr:uid="{00000000-0005-0000-0000-0000F7180000}"/>
    <cellStyle name="Normal 7 2 2 3 2 2 2 2 3" xfId="6318" xr:uid="{00000000-0005-0000-0000-0000F8180000}"/>
    <cellStyle name="Normal 7 2 2 3 2 2 2 3" xfId="3135" xr:uid="{00000000-0005-0000-0000-0000F9180000}"/>
    <cellStyle name="Normal 7 2 2 3 2 2 2 3 2" xfId="7381" xr:uid="{00000000-0005-0000-0000-0000FA180000}"/>
    <cellStyle name="Normal 7 2 2 3 2 2 2 4" xfId="5259" xr:uid="{00000000-0005-0000-0000-0000FB180000}"/>
    <cellStyle name="Normal 7 2 2 3 2 2 3" xfId="1543" xr:uid="{00000000-0005-0000-0000-0000FC180000}"/>
    <cellStyle name="Normal 7 2 2 3 2 2 3 2" xfId="3665" xr:uid="{00000000-0005-0000-0000-0000FD180000}"/>
    <cellStyle name="Normal 7 2 2 3 2 2 3 2 2" xfId="7911" xr:uid="{00000000-0005-0000-0000-0000FE180000}"/>
    <cellStyle name="Normal 7 2 2 3 2 2 3 3" xfId="5789" xr:uid="{00000000-0005-0000-0000-0000FF180000}"/>
    <cellStyle name="Normal 7 2 2 3 2 2 4" xfId="2606" xr:uid="{00000000-0005-0000-0000-000000190000}"/>
    <cellStyle name="Normal 7 2 2 3 2 2 4 2" xfId="6852" xr:uid="{00000000-0005-0000-0000-000001190000}"/>
    <cellStyle name="Normal 7 2 2 3 2 2 5" xfId="4730" xr:uid="{00000000-0005-0000-0000-000002190000}"/>
    <cellStyle name="Normal 7 2 2 3 2 3" xfId="750" xr:uid="{00000000-0005-0000-0000-000003190000}"/>
    <cellStyle name="Normal 7 2 2 3 2 3 2" xfId="1809" xr:uid="{00000000-0005-0000-0000-000004190000}"/>
    <cellStyle name="Normal 7 2 2 3 2 3 2 2" xfId="3931" xr:uid="{00000000-0005-0000-0000-000005190000}"/>
    <cellStyle name="Normal 7 2 2 3 2 3 2 2 2" xfId="8177" xr:uid="{00000000-0005-0000-0000-000006190000}"/>
    <cellStyle name="Normal 7 2 2 3 2 3 2 3" xfId="6055" xr:uid="{00000000-0005-0000-0000-000007190000}"/>
    <cellStyle name="Normal 7 2 2 3 2 3 3" xfId="2872" xr:uid="{00000000-0005-0000-0000-000008190000}"/>
    <cellStyle name="Normal 7 2 2 3 2 3 3 2" xfId="7118" xr:uid="{00000000-0005-0000-0000-000009190000}"/>
    <cellStyle name="Normal 7 2 2 3 2 3 4" xfId="4996" xr:uid="{00000000-0005-0000-0000-00000A190000}"/>
    <cellStyle name="Normal 7 2 2 3 2 4" xfId="1280" xr:uid="{00000000-0005-0000-0000-00000B190000}"/>
    <cellStyle name="Normal 7 2 2 3 2 4 2" xfId="3402" xr:uid="{00000000-0005-0000-0000-00000C190000}"/>
    <cellStyle name="Normal 7 2 2 3 2 4 2 2" xfId="7648" xr:uid="{00000000-0005-0000-0000-00000D190000}"/>
    <cellStyle name="Normal 7 2 2 3 2 4 3" xfId="5526" xr:uid="{00000000-0005-0000-0000-00000E190000}"/>
    <cellStyle name="Normal 7 2 2 3 2 5" xfId="2343" xr:uid="{00000000-0005-0000-0000-00000F190000}"/>
    <cellStyle name="Normal 7 2 2 3 2 5 2" xfId="6589" xr:uid="{00000000-0005-0000-0000-000010190000}"/>
    <cellStyle name="Normal 7 2 2 3 2 6" xfId="4467" xr:uid="{00000000-0005-0000-0000-000011190000}"/>
    <cellStyle name="Normal 7 2 2 3 3" xfId="352" xr:uid="{00000000-0005-0000-0000-000012190000}"/>
    <cellStyle name="Normal 7 2 2 3 3 2" xfId="882" xr:uid="{00000000-0005-0000-0000-000013190000}"/>
    <cellStyle name="Normal 7 2 2 3 3 2 2" xfId="1941" xr:uid="{00000000-0005-0000-0000-000014190000}"/>
    <cellStyle name="Normal 7 2 2 3 3 2 2 2" xfId="4063" xr:uid="{00000000-0005-0000-0000-000015190000}"/>
    <cellStyle name="Normal 7 2 2 3 3 2 2 2 2" xfId="8309" xr:uid="{00000000-0005-0000-0000-000016190000}"/>
    <cellStyle name="Normal 7 2 2 3 3 2 2 3" xfId="6187" xr:uid="{00000000-0005-0000-0000-000017190000}"/>
    <cellStyle name="Normal 7 2 2 3 3 2 3" xfId="3004" xr:uid="{00000000-0005-0000-0000-000018190000}"/>
    <cellStyle name="Normal 7 2 2 3 3 2 3 2" xfId="7250" xr:uid="{00000000-0005-0000-0000-000019190000}"/>
    <cellStyle name="Normal 7 2 2 3 3 2 4" xfId="5128" xr:uid="{00000000-0005-0000-0000-00001A190000}"/>
    <cellStyle name="Normal 7 2 2 3 3 3" xfId="1412" xr:uid="{00000000-0005-0000-0000-00001B190000}"/>
    <cellStyle name="Normal 7 2 2 3 3 3 2" xfId="3534" xr:uid="{00000000-0005-0000-0000-00001C190000}"/>
    <cellStyle name="Normal 7 2 2 3 3 3 2 2" xfId="7780" xr:uid="{00000000-0005-0000-0000-00001D190000}"/>
    <cellStyle name="Normal 7 2 2 3 3 3 3" xfId="5658" xr:uid="{00000000-0005-0000-0000-00001E190000}"/>
    <cellStyle name="Normal 7 2 2 3 3 4" xfId="2475" xr:uid="{00000000-0005-0000-0000-00001F190000}"/>
    <cellStyle name="Normal 7 2 2 3 3 4 2" xfId="6721" xr:uid="{00000000-0005-0000-0000-000020190000}"/>
    <cellStyle name="Normal 7 2 2 3 3 5" xfId="4599" xr:uid="{00000000-0005-0000-0000-000021190000}"/>
    <cellStyle name="Normal 7 2 2 3 4" xfId="619" xr:uid="{00000000-0005-0000-0000-000022190000}"/>
    <cellStyle name="Normal 7 2 2 3 4 2" xfId="1678" xr:uid="{00000000-0005-0000-0000-000023190000}"/>
    <cellStyle name="Normal 7 2 2 3 4 2 2" xfId="3800" xr:uid="{00000000-0005-0000-0000-000024190000}"/>
    <cellStyle name="Normal 7 2 2 3 4 2 2 2" xfId="8046" xr:uid="{00000000-0005-0000-0000-000025190000}"/>
    <cellStyle name="Normal 7 2 2 3 4 2 3" xfId="5924" xr:uid="{00000000-0005-0000-0000-000026190000}"/>
    <cellStyle name="Normal 7 2 2 3 4 3" xfId="2741" xr:uid="{00000000-0005-0000-0000-000027190000}"/>
    <cellStyle name="Normal 7 2 2 3 4 3 2" xfId="6987" xr:uid="{00000000-0005-0000-0000-000028190000}"/>
    <cellStyle name="Normal 7 2 2 3 4 4" xfId="4865" xr:uid="{00000000-0005-0000-0000-000029190000}"/>
    <cellStyle name="Normal 7 2 2 3 5" xfId="1149" xr:uid="{00000000-0005-0000-0000-00002A190000}"/>
    <cellStyle name="Normal 7 2 2 3 5 2" xfId="3271" xr:uid="{00000000-0005-0000-0000-00002B190000}"/>
    <cellStyle name="Normal 7 2 2 3 5 2 2" xfId="7517" xr:uid="{00000000-0005-0000-0000-00002C190000}"/>
    <cellStyle name="Normal 7 2 2 3 5 3" xfId="5395" xr:uid="{00000000-0005-0000-0000-00002D190000}"/>
    <cellStyle name="Normal 7 2 2 3 6" xfId="2212" xr:uid="{00000000-0005-0000-0000-00002E190000}"/>
    <cellStyle name="Normal 7 2 2 3 6 2" xfId="6458" xr:uid="{00000000-0005-0000-0000-00002F190000}"/>
    <cellStyle name="Normal 7 2 2 3 7" xfId="4336" xr:uid="{00000000-0005-0000-0000-000030190000}"/>
    <cellStyle name="Normal 7 2 2 4" xfId="177" xr:uid="{00000000-0005-0000-0000-000031190000}"/>
    <cellStyle name="Normal 7 2 2 4 2" xfId="440" xr:uid="{00000000-0005-0000-0000-000032190000}"/>
    <cellStyle name="Normal 7 2 2 4 2 2" xfId="970" xr:uid="{00000000-0005-0000-0000-000033190000}"/>
    <cellStyle name="Normal 7 2 2 4 2 2 2" xfId="2029" xr:uid="{00000000-0005-0000-0000-000034190000}"/>
    <cellStyle name="Normal 7 2 2 4 2 2 2 2" xfId="4151" xr:uid="{00000000-0005-0000-0000-000035190000}"/>
    <cellStyle name="Normal 7 2 2 4 2 2 2 2 2" xfId="8397" xr:uid="{00000000-0005-0000-0000-000036190000}"/>
    <cellStyle name="Normal 7 2 2 4 2 2 2 3" xfId="6275" xr:uid="{00000000-0005-0000-0000-000037190000}"/>
    <cellStyle name="Normal 7 2 2 4 2 2 3" xfId="3092" xr:uid="{00000000-0005-0000-0000-000038190000}"/>
    <cellStyle name="Normal 7 2 2 4 2 2 3 2" xfId="7338" xr:uid="{00000000-0005-0000-0000-000039190000}"/>
    <cellStyle name="Normal 7 2 2 4 2 2 4" xfId="5216" xr:uid="{00000000-0005-0000-0000-00003A190000}"/>
    <cellStyle name="Normal 7 2 2 4 2 3" xfId="1500" xr:uid="{00000000-0005-0000-0000-00003B190000}"/>
    <cellStyle name="Normal 7 2 2 4 2 3 2" xfId="3622" xr:uid="{00000000-0005-0000-0000-00003C190000}"/>
    <cellStyle name="Normal 7 2 2 4 2 3 2 2" xfId="7868" xr:uid="{00000000-0005-0000-0000-00003D190000}"/>
    <cellStyle name="Normal 7 2 2 4 2 3 3" xfId="5746" xr:uid="{00000000-0005-0000-0000-00003E190000}"/>
    <cellStyle name="Normal 7 2 2 4 2 4" xfId="2563" xr:uid="{00000000-0005-0000-0000-00003F190000}"/>
    <cellStyle name="Normal 7 2 2 4 2 4 2" xfId="6809" xr:uid="{00000000-0005-0000-0000-000040190000}"/>
    <cellStyle name="Normal 7 2 2 4 2 5" xfId="4687" xr:uid="{00000000-0005-0000-0000-000041190000}"/>
    <cellStyle name="Normal 7 2 2 4 3" xfId="707" xr:uid="{00000000-0005-0000-0000-000042190000}"/>
    <cellStyle name="Normal 7 2 2 4 3 2" xfId="1766" xr:uid="{00000000-0005-0000-0000-000043190000}"/>
    <cellStyle name="Normal 7 2 2 4 3 2 2" xfId="3888" xr:uid="{00000000-0005-0000-0000-000044190000}"/>
    <cellStyle name="Normal 7 2 2 4 3 2 2 2" xfId="8134" xr:uid="{00000000-0005-0000-0000-000045190000}"/>
    <cellStyle name="Normal 7 2 2 4 3 2 3" xfId="6012" xr:uid="{00000000-0005-0000-0000-000046190000}"/>
    <cellStyle name="Normal 7 2 2 4 3 3" xfId="2829" xr:uid="{00000000-0005-0000-0000-000047190000}"/>
    <cellStyle name="Normal 7 2 2 4 3 3 2" xfId="7075" xr:uid="{00000000-0005-0000-0000-000048190000}"/>
    <cellStyle name="Normal 7 2 2 4 3 4" xfId="4953" xr:uid="{00000000-0005-0000-0000-000049190000}"/>
    <cellStyle name="Normal 7 2 2 4 4" xfId="1237" xr:uid="{00000000-0005-0000-0000-00004A190000}"/>
    <cellStyle name="Normal 7 2 2 4 4 2" xfId="3359" xr:uid="{00000000-0005-0000-0000-00004B190000}"/>
    <cellStyle name="Normal 7 2 2 4 4 2 2" xfId="7605" xr:uid="{00000000-0005-0000-0000-00004C190000}"/>
    <cellStyle name="Normal 7 2 2 4 4 3" xfId="5483" xr:uid="{00000000-0005-0000-0000-00004D190000}"/>
    <cellStyle name="Normal 7 2 2 4 5" xfId="2300" xr:uid="{00000000-0005-0000-0000-00004E190000}"/>
    <cellStyle name="Normal 7 2 2 4 5 2" xfId="6546" xr:uid="{00000000-0005-0000-0000-00004F190000}"/>
    <cellStyle name="Normal 7 2 2 4 6" xfId="4424" xr:uid="{00000000-0005-0000-0000-000050190000}"/>
    <cellStyle name="Normal 7 2 2 5" xfId="309" xr:uid="{00000000-0005-0000-0000-000051190000}"/>
    <cellStyle name="Normal 7 2 2 5 2" xfId="839" xr:uid="{00000000-0005-0000-0000-000052190000}"/>
    <cellStyle name="Normal 7 2 2 5 2 2" xfId="1898" xr:uid="{00000000-0005-0000-0000-000053190000}"/>
    <cellStyle name="Normal 7 2 2 5 2 2 2" xfId="4020" xr:uid="{00000000-0005-0000-0000-000054190000}"/>
    <cellStyle name="Normal 7 2 2 5 2 2 2 2" xfId="8266" xr:uid="{00000000-0005-0000-0000-000055190000}"/>
    <cellStyle name="Normal 7 2 2 5 2 2 3" xfId="6144" xr:uid="{00000000-0005-0000-0000-000056190000}"/>
    <cellStyle name="Normal 7 2 2 5 2 3" xfId="2961" xr:uid="{00000000-0005-0000-0000-000057190000}"/>
    <cellStyle name="Normal 7 2 2 5 2 3 2" xfId="7207" xr:uid="{00000000-0005-0000-0000-000058190000}"/>
    <cellStyle name="Normal 7 2 2 5 2 4" xfId="5085" xr:uid="{00000000-0005-0000-0000-000059190000}"/>
    <cellStyle name="Normal 7 2 2 5 3" xfId="1369" xr:uid="{00000000-0005-0000-0000-00005A190000}"/>
    <cellStyle name="Normal 7 2 2 5 3 2" xfId="3491" xr:uid="{00000000-0005-0000-0000-00005B190000}"/>
    <cellStyle name="Normal 7 2 2 5 3 2 2" xfId="7737" xr:uid="{00000000-0005-0000-0000-00005C190000}"/>
    <cellStyle name="Normal 7 2 2 5 3 3" xfId="5615" xr:uid="{00000000-0005-0000-0000-00005D190000}"/>
    <cellStyle name="Normal 7 2 2 5 4" xfId="2432" xr:uid="{00000000-0005-0000-0000-00005E190000}"/>
    <cellStyle name="Normal 7 2 2 5 4 2" xfId="6678" xr:uid="{00000000-0005-0000-0000-00005F190000}"/>
    <cellStyle name="Normal 7 2 2 5 5" xfId="4556" xr:uid="{00000000-0005-0000-0000-000060190000}"/>
    <cellStyle name="Normal 7 2 2 6" xfId="576" xr:uid="{00000000-0005-0000-0000-000061190000}"/>
    <cellStyle name="Normal 7 2 2 6 2" xfId="1635" xr:uid="{00000000-0005-0000-0000-000062190000}"/>
    <cellStyle name="Normal 7 2 2 6 2 2" xfId="3757" xr:uid="{00000000-0005-0000-0000-000063190000}"/>
    <cellStyle name="Normal 7 2 2 6 2 2 2" xfId="8003" xr:uid="{00000000-0005-0000-0000-000064190000}"/>
    <cellStyle name="Normal 7 2 2 6 2 3" xfId="5881" xr:uid="{00000000-0005-0000-0000-000065190000}"/>
    <cellStyle name="Normal 7 2 2 6 3" xfId="2698" xr:uid="{00000000-0005-0000-0000-000066190000}"/>
    <cellStyle name="Normal 7 2 2 6 3 2" xfId="6944" xr:uid="{00000000-0005-0000-0000-000067190000}"/>
    <cellStyle name="Normal 7 2 2 6 4" xfId="4822" xr:uid="{00000000-0005-0000-0000-000068190000}"/>
    <cellStyle name="Normal 7 2 2 7" xfId="1106" xr:uid="{00000000-0005-0000-0000-000069190000}"/>
    <cellStyle name="Normal 7 2 2 7 2" xfId="3228" xr:uid="{00000000-0005-0000-0000-00006A190000}"/>
    <cellStyle name="Normal 7 2 2 7 2 2" xfId="7474" xr:uid="{00000000-0005-0000-0000-00006B190000}"/>
    <cellStyle name="Normal 7 2 2 7 3" xfId="5352" xr:uid="{00000000-0005-0000-0000-00006C190000}"/>
    <cellStyle name="Normal 7 2 2 8" xfId="2169" xr:uid="{00000000-0005-0000-0000-00006D190000}"/>
    <cellStyle name="Normal 7 2 2 8 2" xfId="6415" xr:uid="{00000000-0005-0000-0000-00006E190000}"/>
    <cellStyle name="Normal 7 2 2 9" xfId="4293" xr:uid="{00000000-0005-0000-0000-00006F190000}"/>
    <cellStyle name="Normal 7 2 3" xfId="110" xr:uid="{00000000-0005-0000-0000-000070190000}"/>
    <cellStyle name="Normal 7 2 3 2" xfId="241" xr:uid="{00000000-0005-0000-0000-000071190000}"/>
    <cellStyle name="Normal 7 2 3 2 2" xfId="504" xr:uid="{00000000-0005-0000-0000-000072190000}"/>
    <cellStyle name="Normal 7 2 3 2 2 2" xfId="1034" xr:uid="{00000000-0005-0000-0000-000073190000}"/>
    <cellStyle name="Normal 7 2 3 2 2 2 2" xfId="2093" xr:uid="{00000000-0005-0000-0000-000074190000}"/>
    <cellStyle name="Normal 7 2 3 2 2 2 2 2" xfId="4215" xr:uid="{00000000-0005-0000-0000-000075190000}"/>
    <cellStyle name="Normal 7 2 3 2 2 2 2 2 2" xfId="8461" xr:uid="{00000000-0005-0000-0000-000076190000}"/>
    <cellStyle name="Normal 7 2 3 2 2 2 2 3" xfId="6339" xr:uid="{00000000-0005-0000-0000-000077190000}"/>
    <cellStyle name="Normal 7 2 3 2 2 2 3" xfId="3156" xr:uid="{00000000-0005-0000-0000-000078190000}"/>
    <cellStyle name="Normal 7 2 3 2 2 2 3 2" xfId="7402" xr:uid="{00000000-0005-0000-0000-000079190000}"/>
    <cellStyle name="Normal 7 2 3 2 2 2 4" xfId="5280" xr:uid="{00000000-0005-0000-0000-00007A190000}"/>
    <cellStyle name="Normal 7 2 3 2 2 3" xfId="1564" xr:uid="{00000000-0005-0000-0000-00007B190000}"/>
    <cellStyle name="Normal 7 2 3 2 2 3 2" xfId="3686" xr:uid="{00000000-0005-0000-0000-00007C190000}"/>
    <cellStyle name="Normal 7 2 3 2 2 3 2 2" xfId="7932" xr:uid="{00000000-0005-0000-0000-00007D190000}"/>
    <cellStyle name="Normal 7 2 3 2 2 3 3" xfId="5810" xr:uid="{00000000-0005-0000-0000-00007E190000}"/>
    <cellStyle name="Normal 7 2 3 2 2 4" xfId="2627" xr:uid="{00000000-0005-0000-0000-00007F190000}"/>
    <cellStyle name="Normal 7 2 3 2 2 4 2" xfId="6873" xr:uid="{00000000-0005-0000-0000-000080190000}"/>
    <cellStyle name="Normal 7 2 3 2 2 5" xfId="4751" xr:uid="{00000000-0005-0000-0000-000081190000}"/>
    <cellStyle name="Normal 7 2 3 2 3" xfId="771" xr:uid="{00000000-0005-0000-0000-000082190000}"/>
    <cellStyle name="Normal 7 2 3 2 3 2" xfId="1830" xr:uid="{00000000-0005-0000-0000-000083190000}"/>
    <cellStyle name="Normal 7 2 3 2 3 2 2" xfId="3952" xr:uid="{00000000-0005-0000-0000-000084190000}"/>
    <cellStyle name="Normal 7 2 3 2 3 2 2 2" xfId="8198" xr:uid="{00000000-0005-0000-0000-000085190000}"/>
    <cellStyle name="Normal 7 2 3 2 3 2 3" xfId="6076" xr:uid="{00000000-0005-0000-0000-000086190000}"/>
    <cellStyle name="Normal 7 2 3 2 3 3" xfId="2893" xr:uid="{00000000-0005-0000-0000-000087190000}"/>
    <cellStyle name="Normal 7 2 3 2 3 3 2" xfId="7139" xr:uid="{00000000-0005-0000-0000-000088190000}"/>
    <cellStyle name="Normal 7 2 3 2 3 4" xfId="5017" xr:uid="{00000000-0005-0000-0000-000089190000}"/>
    <cellStyle name="Normal 7 2 3 2 4" xfId="1301" xr:uid="{00000000-0005-0000-0000-00008A190000}"/>
    <cellStyle name="Normal 7 2 3 2 4 2" xfId="3423" xr:uid="{00000000-0005-0000-0000-00008B190000}"/>
    <cellStyle name="Normal 7 2 3 2 4 2 2" xfId="7669" xr:uid="{00000000-0005-0000-0000-00008C190000}"/>
    <cellStyle name="Normal 7 2 3 2 4 3" xfId="5547" xr:uid="{00000000-0005-0000-0000-00008D190000}"/>
    <cellStyle name="Normal 7 2 3 2 5" xfId="2364" xr:uid="{00000000-0005-0000-0000-00008E190000}"/>
    <cellStyle name="Normal 7 2 3 2 5 2" xfId="6610" xr:uid="{00000000-0005-0000-0000-00008F190000}"/>
    <cellStyle name="Normal 7 2 3 2 6" xfId="4488" xr:uid="{00000000-0005-0000-0000-000090190000}"/>
    <cellStyle name="Normal 7 2 3 3" xfId="373" xr:uid="{00000000-0005-0000-0000-000091190000}"/>
    <cellStyle name="Normal 7 2 3 3 2" xfId="903" xr:uid="{00000000-0005-0000-0000-000092190000}"/>
    <cellStyle name="Normal 7 2 3 3 2 2" xfId="1962" xr:uid="{00000000-0005-0000-0000-000093190000}"/>
    <cellStyle name="Normal 7 2 3 3 2 2 2" xfId="4084" xr:uid="{00000000-0005-0000-0000-000094190000}"/>
    <cellStyle name="Normal 7 2 3 3 2 2 2 2" xfId="8330" xr:uid="{00000000-0005-0000-0000-000095190000}"/>
    <cellStyle name="Normal 7 2 3 3 2 2 3" xfId="6208" xr:uid="{00000000-0005-0000-0000-000096190000}"/>
    <cellStyle name="Normal 7 2 3 3 2 3" xfId="3025" xr:uid="{00000000-0005-0000-0000-000097190000}"/>
    <cellStyle name="Normal 7 2 3 3 2 3 2" xfId="7271" xr:uid="{00000000-0005-0000-0000-000098190000}"/>
    <cellStyle name="Normal 7 2 3 3 2 4" xfId="5149" xr:uid="{00000000-0005-0000-0000-000099190000}"/>
    <cellStyle name="Normal 7 2 3 3 3" xfId="1433" xr:uid="{00000000-0005-0000-0000-00009A190000}"/>
    <cellStyle name="Normal 7 2 3 3 3 2" xfId="3555" xr:uid="{00000000-0005-0000-0000-00009B190000}"/>
    <cellStyle name="Normal 7 2 3 3 3 2 2" xfId="7801" xr:uid="{00000000-0005-0000-0000-00009C190000}"/>
    <cellStyle name="Normal 7 2 3 3 3 3" xfId="5679" xr:uid="{00000000-0005-0000-0000-00009D190000}"/>
    <cellStyle name="Normal 7 2 3 3 4" xfId="2496" xr:uid="{00000000-0005-0000-0000-00009E190000}"/>
    <cellStyle name="Normal 7 2 3 3 4 2" xfId="6742" xr:uid="{00000000-0005-0000-0000-00009F190000}"/>
    <cellStyle name="Normal 7 2 3 3 5" xfId="4620" xr:uid="{00000000-0005-0000-0000-0000A0190000}"/>
    <cellStyle name="Normal 7 2 3 4" xfId="640" xr:uid="{00000000-0005-0000-0000-0000A1190000}"/>
    <cellStyle name="Normal 7 2 3 4 2" xfId="1699" xr:uid="{00000000-0005-0000-0000-0000A2190000}"/>
    <cellStyle name="Normal 7 2 3 4 2 2" xfId="3821" xr:uid="{00000000-0005-0000-0000-0000A3190000}"/>
    <cellStyle name="Normal 7 2 3 4 2 2 2" xfId="8067" xr:uid="{00000000-0005-0000-0000-0000A4190000}"/>
    <cellStyle name="Normal 7 2 3 4 2 3" xfId="5945" xr:uid="{00000000-0005-0000-0000-0000A5190000}"/>
    <cellStyle name="Normal 7 2 3 4 3" xfId="2762" xr:uid="{00000000-0005-0000-0000-0000A6190000}"/>
    <cellStyle name="Normal 7 2 3 4 3 2" xfId="7008" xr:uid="{00000000-0005-0000-0000-0000A7190000}"/>
    <cellStyle name="Normal 7 2 3 4 4" xfId="4886" xr:uid="{00000000-0005-0000-0000-0000A8190000}"/>
    <cellStyle name="Normal 7 2 3 5" xfId="1170" xr:uid="{00000000-0005-0000-0000-0000A9190000}"/>
    <cellStyle name="Normal 7 2 3 5 2" xfId="3292" xr:uid="{00000000-0005-0000-0000-0000AA190000}"/>
    <cellStyle name="Normal 7 2 3 5 2 2" xfId="7538" xr:uid="{00000000-0005-0000-0000-0000AB190000}"/>
    <cellStyle name="Normal 7 2 3 5 3" xfId="5416" xr:uid="{00000000-0005-0000-0000-0000AC190000}"/>
    <cellStyle name="Normal 7 2 3 6" xfId="2233" xr:uid="{00000000-0005-0000-0000-0000AD190000}"/>
    <cellStyle name="Normal 7 2 3 6 2" xfId="6479" xr:uid="{00000000-0005-0000-0000-0000AE190000}"/>
    <cellStyle name="Normal 7 2 3 7" xfId="4357" xr:uid="{00000000-0005-0000-0000-0000AF190000}"/>
    <cellStyle name="Normal 7 2 4" xfId="67" xr:uid="{00000000-0005-0000-0000-0000B0190000}"/>
    <cellStyle name="Normal 7 2 4 2" xfId="199" xr:uid="{00000000-0005-0000-0000-0000B1190000}"/>
    <cellStyle name="Normal 7 2 4 2 2" xfId="462" xr:uid="{00000000-0005-0000-0000-0000B2190000}"/>
    <cellStyle name="Normal 7 2 4 2 2 2" xfId="992" xr:uid="{00000000-0005-0000-0000-0000B3190000}"/>
    <cellStyle name="Normal 7 2 4 2 2 2 2" xfId="2051" xr:uid="{00000000-0005-0000-0000-0000B4190000}"/>
    <cellStyle name="Normal 7 2 4 2 2 2 2 2" xfId="4173" xr:uid="{00000000-0005-0000-0000-0000B5190000}"/>
    <cellStyle name="Normal 7 2 4 2 2 2 2 2 2" xfId="8419" xr:uid="{00000000-0005-0000-0000-0000B6190000}"/>
    <cellStyle name="Normal 7 2 4 2 2 2 2 3" xfId="6297" xr:uid="{00000000-0005-0000-0000-0000B7190000}"/>
    <cellStyle name="Normal 7 2 4 2 2 2 3" xfId="3114" xr:uid="{00000000-0005-0000-0000-0000B8190000}"/>
    <cellStyle name="Normal 7 2 4 2 2 2 3 2" xfId="7360" xr:uid="{00000000-0005-0000-0000-0000B9190000}"/>
    <cellStyle name="Normal 7 2 4 2 2 2 4" xfId="5238" xr:uid="{00000000-0005-0000-0000-0000BA190000}"/>
    <cellStyle name="Normal 7 2 4 2 2 3" xfId="1522" xr:uid="{00000000-0005-0000-0000-0000BB190000}"/>
    <cellStyle name="Normal 7 2 4 2 2 3 2" xfId="3644" xr:uid="{00000000-0005-0000-0000-0000BC190000}"/>
    <cellStyle name="Normal 7 2 4 2 2 3 2 2" xfId="7890" xr:uid="{00000000-0005-0000-0000-0000BD190000}"/>
    <cellStyle name="Normal 7 2 4 2 2 3 3" xfId="5768" xr:uid="{00000000-0005-0000-0000-0000BE190000}"/>
    <cellStyle name="Normal 7 2 4 2 2 4" xfId="2585" xr:uid="{00000000-0005-0000-0000-0000BF190000}"/>
    <cellStyle name="Normal 7 2 4 2 2 4 2" xfId="6831" xr:uid="{00000000-0005-0000-0000-0000C0190000}"/>
    <cellStyle name="Normal 7 2 4 2 2 5" xfId="4709" xr:uid="{00000000-0005-0000-0000-0000C1190000}"/>
    <cellStyle name="Normal 7 2 4 2 3" xfId="729" xr:uid="{00000000-0005-0000-0000-0000C2190000}"/>
    <cellStyle name="Normal 7 2 4 2 3 2" xfId="1788" xr:uid="{00000000-0005-0000-0000-0000C3190000}"/>
    <cellStyle name="Normal 7 2 4 2 3 2 2" xfId="3910" xr:uid="{00000000-0005-0000-0000-0000C4190000}"/>
    <cellStyle name="Normal 7 2 4 2 3 2 2 2" xfId="8156" xr:uid="{00000000-0005-0000-0000-0000C5190000}"/>
    <cellStyle name="Normal 7 2 4 2 3 2 3" xfId="6034" xr:uid="{00000000-0005-0000-0000-0000C6190000}"/>
    <cellStyle name="Normal 7 2 4 2 3 3" xfId="2851" xr:uid="{00000000-0005-0000-0000-0000C7190000}"/>
    <cellStyle name="Normal 7 2 4 2 3 3 2" xfId="7097" xr:uid="{00000000-0005-0000-0000-0000C8190000}"/>
    <cellStyle name="Normal 7 2 4 2 3 4" xfId="4975" xr:uid="{00000000-0005-0000-0000-0000C9190000}"/>
    <cellStyle name="Normal 7 2 4 2 4" xfId="1259" xr:uid="{00000000-0005-0000-0000-0000CA190000}"/>
    <cellStyle name="Normal 7 2 4 2 4 2" xfId="3381" xr:uid="{00000000-0005-0000-0000-0000CB190000}"/>
    <cellStyle name="Normal 7 2 4 2 4 2 2" xfId="7627" xr:uid="{00000000-0005-0000-0000-0000CC190000}"/>
    <cellStyle name="Normal 7 2 4 2 4 3" xfId="5505" xr:uid="{00000000-0005-0000-0000-0000CD190000}"/>
    <cellStyle name="Normal 7 2 4 2 5" xfId="2322" xr:uid="{00000000-0005-0000-0000-0000CE190000}"/>
    <cellStyle name="Normal 7 2 4 2 5 2" xfId="6568" xr:uid="{00000000-0005-0000-0000-0000CF190000}"/>
    <cellStyle name="Normal 7 2 4 2 6" xfId="4446" xr:uid="{00000000-0005-0000-0000-0000D0190000}"/>
    <cellStyle name="Normal 7 2 4 3" xfId="331" xr:uid="{00000000-0005-0000-0000-0000D1190000}"/>
    <cellStyle name="Normal 7 2 4 3 2" xfId="861" xr:uid="{00000000-0005-0000-0000-0000D2190000}"/>
    <cellStyle name="Normal 7 2 4 3 2 2" xfId="1920" xr:uid="{00000000-0005-0000-0000-0000D3190000}"/>
    <cellStyle name="Normal 7 2 4 3 2 2 2" xfId="4042" xr:uid="{00000000-0005-0000-0000-0000D4190000}"/>
    <cellStyle name="Normal 7 2 4 3 2 2 2 2" xfId="8288" xr:uid="{00000000-0005-0000-0000-0000D5190000}"/>
    <cellStyle name="Normal 7 2 4 3 2 2 3" xfId="6166" xr:uid="{00000000-0005-0000-0000-0000D6190000}"/>
    <cellStyle name="Normal 7 2 4 3 2 3" xfId="2983" xr:uid="{00000000-0005-0000-0000-0000D7190000}"/>
    <cellStyle name="Normal 7 2 4 3 2 3 2" xfId="7229" xr:uid="{00000000-0005-0000-0000-0000D8190000}"/>
    <cellStyle name="Normal 7 2 4 3 2 4" xfId="5107" xr:uid="{00000000-0005-0000-0000-0000D9190000}"/>
    <cellStyle name="Normal 7 2 4 3 3" xfId="1391" xr:uid="{00000000-0005-0000-0000-0000DA190000}"/>
    <cellStyle name="Normal 7 2 4 3 3 2" xfId="3513" xr:uid="{00000000-0005-0000-0000-0000DB190000}"/>
    <cellStyle name="Normal 7 2 4 3 3 2 2" xfId="7759" xr:uid="{00000000-0005-0000-0000-0000DC190000}"/>
    <cellStyle name="Normal 7 2 4 3 3 3" xfId="5637" xr:uid="{00000000-0005-0000-0000-0000DD190000}"/>
    <cellStyle name="Normal 7 2 4 3 4" xfId="2454" xr:uid="{00000000-0005-0000-0000-0000DE190000}"/>
    <cellStyle name="Normal 7 2 4 3 4 2" xfId="6700" xr:uid="{00000000-0005-0000-0000-0000DF190000}"/>
    <cellStyle name="Normal 7 2 4 3 5" xfId="4578" xr:uid="{00000000-0005-0000-0000-0000E0190000}"/>
    <cellStyle name="Normal 7 2 4 4" xfId="598" xr:uid="{00000000-0005-0000-0000-0000E1190000}"/>
    <cellStyle name="Normal 7 2 4 4 2" xfId="1657" xr:uid="{00000000-0005-0000-0000-0000E2190000}"/>
    <cellStyle name="Normal 7 2 4 4 2 2" xfId="3779" xr:uid="{00000000-0005-0000-0000-0000E3190000}"/>
    <cellStyle name="Normal 7 2 4 4 2 2 2" xfId="8025" xr:uid="{00000000-0005-0000-0000-0000E4190000}"/>
    <cellStyle name="Normal 7 2 4 4 2 3" xfId="5903" xr:uid="{00000000-0005-0000-0000-0000E5190000}"/>
    <cellStyle name="Normal 7 2 4 4 3" xfId="2720" xr:uid="{00000000-0005-0000-0000-0000E6190000}"/>
    <cellStyle name="Normal 7 2 4 4 3 2" xfId="6966" xr:uid="{00000000-0005-0000-0000-0000E7190000}"/>
    <cellStyle name="Normal 7 2 4 4 4" xfId="4844" xr:uid="{00000000-0005-0000-0000-0000E8190000}"/>
    <cellStyle name="Normal 7 2 4 5" xfId="1128" xr:uid="{00000000-0005-0000-0000-0000E9190000}"/>
    <cellStyle name="Normal 7 2 4 5 2" xfId="3250" xr:uid="{00000000-0005-0000-0000-0000EA190000}"/>
    <cellStyle name="Normal 7 2 4 5 2 2" xfId="7496" xr:uid="{00000000-0005-0000-0000-0000EB190000}"/>
    <cellStyle name="Normal 7 2 4 5 3" xfId="5374" xr:uid="{00000000-0005-0000-0000-0000EC190000}"/>
    <cellStyle name="Normal 7 2 4 6" xfId="2191" xr:uid="{00000000-0005-0000-0000-0000ED190000}"/>
    <cellStyle name="Normal 7 2 4 6 2" xfId="6437" xr:uid="{00000000-0005-0000-0000-0000EE190000}"/>
    <cellStyle name="Normal 7 2 4 7" xfId="4315" xr:uid="{00000000-0005-0000-0000-0000EF190000}"/>
    <cellStyle name="Normal 7 2 5" xfId="156" xr:uid="{00000000-0005-0000-0000-0000F0190000}"/>
    <cellStyle name="Normal 7 2 5 2" xfId="419" xr:uid="{00000000-0005-0000-0000-0000F1190000}"/>
    <cellStyle name="Normal 7 2 5 2 2" xfId="949" xr:uid="{00000000-0005-0000-0000-0000F2190000}"/>
    <cellStyle name="Normal 7 2 5 2 2 2" xfId="2008" xr:uid="{00000000-0005-0000-0000-0000F3190000}"/>
    <cellStyle name="Normal 7 2 5 2 2 2 2" xfId="4130" xr:uid="{00000000-0005-0000-0000-0000F4190000}"/>
    <cellStyle name="Normal 7 2 5 2 2 2 2 2" xfId="8376" xr:uid="{00000000-0005-0000-0000-0000F5190000}"/>
    <cellStyle name="Normal 7 2 5 2 2 2 3" xfId="6254" xr:uid="{00000000-0005-0000-0000-0000F6190000}"/>
    <cellStyle name="Normal 7 2 5 2 2 3" xfId="3071" xr:uid="{00000000-0005-0000-0000-0000F7190000}"/>
    <cellStyle name="Normal 7 2 5 2 2 3 2" xfId="7317" xr:uid="{00000000-0005-0000-0000-0000F8190000}"/>
    <cellStyle name="Normal 7 2 5 2 2 4" xfId="5195" xr:uid="{00000000-0005-0000-0000-0000F9190000}"/>
    <cellStyle name="Normal 7 2 5 2 3" xfId="1479" xr:uid="{00000000-0005-0000-0000-0000FA190000}"/>
    <cellStyle name="Normal 7 2 5 2 3 2" xfId="3601" xr:uid="{00000000-0005-0000-0000-0000FB190000}"/>
    <cellStyle name="Normal 7 2 5 2 3 2 2" xfId="7847" xr:uid="{00000000-0005-0000-0000-0000FC190000}"/>
    <cellStyle name="Normal 7 2 5 2 3 3" xfId="5725" xr:uid="{00000000-0005-0000-0000-0000FD190000}"/>
    <cellStyle name="Normal 7 2 5 2 4" xfId="2542" xr:uid="{00000000-0005-0000-0000-0000FE190000}"/>
    <cellStyle name="Normal 7 2 5 2 4 2" xfId="6788" xr:uid="{00000000-0005-0000-0000-0000FF190000}"/>
    <cellStyle name="Normal 7 2 5 2 5" xfId="4666" xr:uid="{00000000-0005-0000-0000-0000001A0000}"/>
    <cellStyle name="Normal 7 2 5 3" xfId="686" xr:uid="{00000000-0005-0000-0000-0000011A0000}"/>
    <cellStyle name="Normal 7 2 5 3 2" xfId="1745" xr:uid="{00000000-0005-0000-0000-0000021A0000}"/>
    <cellStyle name="Normal 7 2 5 3 2 2" xfId="3867" xr:uid="{00000000-0005-0000-0000-0000031A0000}"/>
    <cellStyle name="Normal 7 2 5 3 2 2 2" xfId="8113" xr:uid="{00000000-0005-0000-0000-0000041A0000}"/>
    <cellStyle name="Normal 7 2 5 3 2 3" xfId="5991" xr:uid="{00000000-0005-0000-0000-0000051A0000}"/>
    <cellStyle name="Normal 7 2 5 3 3" xfId="2808" xr:uid="{00000000-0005-0000-0000-0000061A0000}"/>
    <cellStyle name="Normal 7 2 5 3 3 2" xfId="7054" xr:uid="{00000000-0005-0000-0000-0000071A0000}"/>
    <cellStyle name="Normal 7 2 5 3 4" xfId="4932" xr:uid="{00000000-0005-0000-0000-0000081A0000}"/>
    <cellStyle name="Normal 7 2 5 4" xfId="1216" xr:uid="{00000000-0005-0000-0000-0000091A0000}"/>
    <cellStyle name="Normal 7 2 5 4 2" xfId="3338" xr:uid="{00000000-0005-0000-0000-00000A1A0000}"/>
    <cellStyle name="Normal 7 2 5 4 2 2" xfId="7584" xr:uid="{00000000-0005-0000-0000-00000B1A0000}"/>
    <cellStyle name="Normal 7 2 5 4 3" xfId="5462" xr:uid="{00000000-0005-0000-0000-00000C1A0000}"/>
    <cellStyle name="Normal 7 2 5 5" xfId="2279" xr:uid="{00000000-0005-0000-0000-00000D1A0000}"/>
    <cellStyle name="Normal 7 2 5 5 2" xfId="6525" xr:uid="{00000000-0005-0000-0000-00000E1A0000}"/>
    <cellStyle name="Normal 7 2 5 6" xfId="4403" xr:uid="{00000000-0005-0000-0000-00000F1A0000}"/>
    <cellStyle name="Normal 7 2 6" xfId="288" xr:uid="{00000000-0005-0000-0000-0000101A0000}"/>
    <cellStyle name="Normal 7 2 6 2" xfId="818" xr:uid="{00000000-0005-0000-0000-0000111A0000}"/>
    <cellStyle name="Normal 7 2 6 2 2" xfId="1877" xr:uid="{00000000-0005-0000-0000-0000121A0000}"/>
    <cellStyle name="Normal 7 2 6 2 2 2" xfId="3999" xr:uid="{00000000-0005-0000-0000-0000131A0000}"/>
    <cellStyle name="Normal 7 2 6 2 2 2 2" xfId="8245" xr:uid="{00000000-0005-0000-0000-0000141A0000}"/>
    <cellStyle name="Normal 7 2 6 2 2 3" xfId="6123" xr:uid="{00000000-0005-0000-0000-0000151A0000}"/>
    <cellStyle name="Normal 7 2 6 2 3" xfId="2940" xr:uid="{00000000-0005-0000-0000-0000161A0000}"/>
    <cellStyle name="Normal 7 2 6 2 3 2" xfId="7186" xr:uid="{00000000-0005-0000-0000-0000171A0000}"/>
    <cellStyle name="Normal 7 2 6 2 4" xfId="5064" xr:uid="{00000000-0005-0000-0000-0000181A0000}"/>
    <cellStyle name="Normal 7 2 6 3" xfId="1348" xr:uid="{00000000-0005-0000-0000-0000191A0000}"/>
    <cellStyle name="Normal 7 2 6 3 2" xfId="3470" xr:uid="{00000000-0005-0000-0000-00001A1A0000}"/>
    <cellStyle name="Normal 7 2 6 3 2 2" xfId="7716" xr:uid="{00000000-0005-0000-0000-00001B1A0000}"/>
    <cellStyle name="Normal 7 2 6 3 3" xfId="5594" xr:uid="{00000000-0005-0000-0000-00001C1A0000}"/>
    <cellStyle name="Normal 7 2 6 4" xfId="2411" xr:uid="{00000000-0005-0000-0000-00001D1A0000}"/>
    <cellStyle name="Normal 7 2 6 4 2" xfId="6657" xr:uid="{00000000-0005-0000-0000-00001E1A0000}"/>
    <cellStyle name="Normal 7 2 6 5" xfId="4535" xr:uid="{00000000-0005-0000-0000-00001F1A0000}"/>
    <cellStyle name="Normal 7 2 7" xfId="555" xr:uid="{00000000-0005-0000-0000-0000201A0000}"/>
    <cellStyle name="Normal 7 2 7 2" xfId="1614" xr:uid="{00000000-0005-0000-0000-0000211A0000}"/>
    <cellStyle name="Normal 7 2 7 2 2" xfId="3736" xr:uid="{00000000-0005-0000-0000-0000221A0000}"/>
    <cellStyle name="Normal 7 2 7 2 2 2" xfId="7982" xr:uid="{00000000-0005-0000-0000-0000231A0000}"/>
    <cellStyle name="Normal 7 2 7 2 3" xfId="5860" xr:uid="{00000000-0005-0000-0000-0000241A0000}"/>
    <cellStyle name="Normal 7 2 7 3" xfId="2677" xr:uid="{00000000-0005-0000-0000-0000251A0000}"/>
    <cellStyle name="Normal 7 2 7 3 2" xfId="6923" xr:uid="{00000000-0005-0000-0000-0000261A0000}"/>
    <cellStyle name="Normal 7 2 7 4" xfId="4801" xr:uid="{00000000-0005-0000-0000-0000271A0000}"/>
    <cellStyle name="Normal 7 2 8" xfId="1085" xr:uid="{00000000-0005-0000-0000-0000281A0000}"/>
    <cellStyle name="Normal 7 2 8 2" xfId="3207" xr:uid="{00000000-0005-0000-0000-0000291A0000}"/>
    <cellStyle name="Normal 7 2 8 2 2" xfId="7453" xr:uid="{00000000-0005-0000-0000-00002A1A0000}"/>
    <cellStyle name="Normal 7 2 8 3" xfId="5331" xr:uid="{00000000-0005-0000-0000-00002B1A0000}"/>
    <cellStyle name="Normal 7 2 9" xfId="2148" xr:uid="{00000000-0005-0000-0000-00002C1A0000}"/>
    <cellStyle name="Normal 7 2 9 2" xfId="6394" xr:uid="{00000000-0005-0000-0000-00002D1A0000}"/>
    <cellStyle name="Normal 7 3" xfId="34" xr:uid="{00000000-0005-0000-0000-00002E1A0000}"/>
    <cellStyle name="Normal 7 3 2" xfId="120" xr:uid="{00000000-0005-0000-0000-00002F1A0000}"/>
    <cellStyle name="Normal 7 3 2 2" xfId="251" xr:uid="{00000000-0005-0000-0000-0000301A0000}"/>
    <cellStyle name="Normal 7 3 2 2 2" xfId="514" xr:uid="{00000000-0005-0000-0000-0000311A0000}"/>
    <cellStyle name="Normal 7 3 2 2 2 2" xfId="1044" xr:uid="{00000000-0005-0000-0000-0000321A0000}"/>
    <cellStyle name="Normal 7 3 2 2 2 2 2" xfId="2103" xr:uid="{00000000-0005-0000-0000-0000331A0000}"/>
    <cellStyle name="Normal 7 3 2 2 2 2 2 2" xfId="4225" xr:uid="{00000000-0005-0000-0000-0000341A0000}"/>
    <cellStyle name="Normal 7 3 2 2 2 2 2 2 2" xfId="8471" xr:uid="{00000000-0005-0000-0000-0000351A0000}"/>
    <cellStyle name="Normal 7 3 2 2 2 2 2 3" xfId="6349" xr:uid="{00000000-0005-0000-0000-0000361A0000}"/>
    <cellStyle name="Normal 7 3 2 2 2 2 3" xfId="3166" xr:uid="{00000000-0005-0000-0000-0000371A0000}"/>
    <cellStyle name="Normal 7 3 2 2 2 2 3 2" xfId="7412" xr:uid="{00000000-0005-0000-0000-0000381A0000}"/>
    <cellStyle name="Normal 7 3 2 2 2 2 4" xfId="5290" xr:uid="{00000000-0005-0000-0000-0000391A0000}"/>
    <cellStyle name="Normal 7 3 2 2 2 3" xfId="1574" xr:uid="{00000000-0005-0000-0000-00003A1A0000}"/>
    <cellStyle name="Normal 7 3 2 2 2 3 2" xfId="3696" xr:uid="{00000000-0005-0000-0000-00003B1A0000}"/>
    <cellStyle name="Normal 7 3 2 2 2 3 2 2" xfId="7942" xr:uid="{00000000-0005-0000-0000-00003C1A0000}"/>
    <cellStyle name="Normal 7 3 2 2 2 3 3" xfId="5820" xr:uid="{00000000-0005-0000-0000-00003D1A0000}"/>
    <cellStyle name="Normal 7 3 2 2 2 4" xfId="2637" xr:uid="{00000000-0005-0000-0000-00003E1A0000}"/>
    <cellStyle name="Normal 7 3 2 2 2 4 2" xfId="6883" xr:uid="{00000000-0005-0000-0000-00003F1A0000}"/>
    <cellStyle name="Normal 7 3 2 2 2 5" xfId="4761" xr:uid="{00000000-0005-0000-0000-0000401A0000}"/>
    <cellStyle name="Normal 7 3 2 2 3" xfId="781" xr:uid="{00000000-0005-0000-0000-0000411A0000}"/>
    <cellStyle name="Normal 7 3 2 2 3 2" xfId="1840" xr:uid="{00000000-0005-0000-0000-0000421A0000}"/>
    <cellStyle name="Normal 7 3 2 2 3 2 2" xfId="3962" xr:uid="{00000000-0005-0000-0000-0000431A0000}"/>
    <cellStyle name="Normal 7 3 2 2 3 2 2 2" xfId="8208" xr:uid="{00000000-0005-0000-0000-0000441A0000}"/>
    <cellStyle name="Normal 7 3 2 2 3 2 3" xfId="6086" xr:uid="{00000000-0005-0000-0000-0000451A0000}"/>
    <cellStyle name="Normal 7 3 2 2 3 3" xfId="2903" xr:uid="{00000000-0005-0000-0000-0000461A0000}"/>
    <cellStyle name="Normal 7 3 2 2 3 3 2" xfId="7149" xr:uid="{00000000-0005-0000-0000-0000471A0000}"/>
    <cellStyle name="Normal 7 3 2 2 3 4" xfId="5027" xr:uid="{00000000-0005-0000-0000-0000481A0000}"/>
    <cellStyle name="Normal 7 3 2 2 4" xfId="1311" xr:uid="{00000000-0005-0000-0000-0000491A0000}"/>
    <cellStyle name="Normal 7 3 2 2 4 2" xfId="3433" xr:uid="{00000000-0005-0000-0000-00004A1A0000}"/>
    <cellStyle name="Normal 7 3 2 2 4 2 2" xfId="7679" xr:uid="{00000000-0005-0000-0000-00004B1A0000}"/>
    <cellStyle name="Normal 7 3 2 2 4 3" xfId="5557" xr:uid="{00000000-0005-0000-0000-00004C1A0000}"/>
    <cellStyle name="Normal 7 3 2 2 5" xfId="2374" xr:uid="{00000000-0005-0000-0000-00004D1A0000}"/>
    <cellStyle name="Normal 7 3 2 2 5 2" xfId="6620" xr:uid="{00000000-0005-0000-0000-00004E1A0000}"/>
    <cellStyle name="Normal 7 3 2 2 6" xfId="4498" xr:uid="{00000000-0005-0000-0000-00004F1A0000}"/>
    <cellStyle name="Normal 7 3 2 3" xfId="383" xr:uid="{00000000-0005-0000-0000-0000501A0000}"/>
    <cellStyle name="Normal 7 3 2 3 2" xfId="913" xr:uid="{00000000-0005-0000-0000-0000511A0000}"/>
    <cellStyle name="Normal 7 3 2 3 2 2" xfId="1972" xr:uid="{00000000-0005-0000-0000-0000521A0000}"/>
    <cellStyle name="Normal 7 3 2 3 2 2 2" xfId="4094" xr:uid="{00000000-0005-0000-0000-0000531A0000}"/>
    <cellStyle name="Normal 7 3 2 3 2 2 2 2" xfId="8340" xr:uid="{00000000-0005-0000-0000-0000541A0000}"/>
    <cellStyle name="Normal 7 3 2 3 2 2 3" xfId="6218" xr:uid="{00000000-0005-0000-0000-0000551A0000}"/>
    <cellStyle name="Normal 7 3 2 3 2 3" xfId="3035" xr:uid="{00000000-0005-0000-0000-0000561A0000}"/>
    <cellStyle name="Normal 7 3 2 3 2 3 2" xfId="7281" xr:uid="{00000000-0005-0000-0000-0000571A0000}"/>
    <cellStyle name="Normal 7 3 2 3 2 4" xfId="5159" xr:uid="{00000000-0005-0000-0000-0000581A0000}"/>
    <cellStyle name="Normal 7 3 2 3 3" xfId="1443" xr:uid="{00000000-0005-0000-0000-0000591A0000}"/>
    <cellStyle name="Normal 7 3 2 3 3 2" xfId="3565" xr:uid="{00000000-0005-0000-0000-00005A1A0000}"/>
    <cellStyle name="Normal 7 3 2 3 3 2 2" xfId="7811" xr:uid="{00000000-0005-0000-0000-00005B1A0000}"/>
    <cellStyle name="Normal 7 3 2 3 3 3" xfId="5689" xr:uid="{00000000-0005-0000-0000-00005C1A0000}"/>
    <cellStyle name="Normal 7 3 2 3 4" xfId="2506" xr:uid="{00000000-0005-0000-0000-00005D1A0000}"/>
    <cellStyle name="Normal 7 3 2 3 4 2" xfId="6752" xr:uid="{00000000-0005-0000-0000-00005E1A0000}"/>
    <cellStyle name="Normal 7 3 2 3 5" xfId="4630" xr:uid="{00000000-0005-0000-0000-00005F1A0000}"/>
    <cellStyle name="Normal 7 3 2 4" xfId="650" xr:uid="{00000000-0005-0000-0000-0000601A0000}"/>
    <cellStyle name="Normal 7 3 2 4 2" xfId="1709" xr:uid="{00000000-0005-0000-0000-0000611A0000}"/>
    <cellStyle name="Normal 7 3 2 4 2 2" xfId="3831" xr:uid="{00000000-0005-0000-0000-0000621A0000}"/>
    <cellStyle name="Normal 7 3 2 4 2 2 2" xfId="8077" xr:uid="{00000000-0005-0000-0000-0000631A0000}"/>
    <cellStyle name="Normal 7 3 2 4 2 3" xfId="5955" xr:uid="{00000000-0005-0000-0000-0000641A0000}"/>
    <cellStyle name="Normal 7 3 2 4 3" xfId="2772" xr:uid="{00000000-0005-0000-0000-0000651A0000}"/>
    <cellStyle name="Normal 7 3 2 4 3 2" xfId="7018" xr:uid="{00000000-0005-0000-0000-0000661A0000}"/>
    <cellStyle name="Normal 7 3 2 4 4" xfId="4896" xr:uid="{00000000-0005-0000-0000-0000671A0000}"/>
    <cellStyle name="Normal 7 3 2 5" xfId="1180" xr:uid="{00000000-0005-0000-0000-0000681A0000}"/>
    <cellStyle name="Normal 7 3 2 5 2" xfId="3302" xr:uid="{00000000-0005-0000-0000-0000691A0000}"/>
    <cellStyle name="Normal 7 3 2 5 2 2" xfId="7548" xr:uid="{00000000-0005-0000-0000-00006A1A0000}"/>
    <cellStyle name="Normal 7 3 2 5 3" xfId="5426" xr:uid="{00000000-0005-0000-0000-00006B1A0000}"/>
    <cellStyle name="Normal 7 3 2 6" xfId="2243" xr:uid="{00000000-0005-0000-0000-00006C1A0000}"/>
    <cellStyle name="Normal 7 3 2 6 2" xfId="6489" xr:uid="{00000000-0005-0000-0000-00006D1A0000}"/>
    <cellStyle name="Normal 7 3 2 7" xfId="4367" xr:uid="{00000000-0005-0000-0000-00006E1A0000}"/>
    <cellStyle name="Normal 7 3 3" xfId="77" xr:uid="{00000000-0005-0000-0000-00006F1A0000}"/>
    <cellStyle name="Normal 7 3 3 2" xfId="209" xr:uid="{00000000-0005-0000-0000-0000701A0000}"/>
    <cellStyle name="Normal 7 3 3 2 2" xfId="472" xr:uid="{00000000-0005-0000-0000-0000711A0000}"/>
    <cellStyle name="Normal 7 3 3 2 2 2" xfId="1002" xr:uid="{00000000-0005-0000-0000-0000721A0000}"/>
    <cellStyle name="Normal 7 3 3 2 2 2 2" xfId="2061" xr:uid="{00000000-0005-0000-0000-0000731A0000}"/>
    <cellStyle name="Normal 7 3 3 2 2 2 2 2" xfId="4183" xr:uid="{00000000-0005-0000-0000-0000741A0000}"/>
    <cellStyle name="Normal 7 3 3 2 2 2 2 2 2" xfId="8429" xr:uid="{00000000-0005-0000-0000-0000751A0000}"/>
    <cellStyle name="Normal 7 3 3 2 2 2 2 3" xfId="6307" xr:uid="{00000000-0005-0000-0000-0000761A0000}"/>
    <cellStyle name="Normal 7 3 3 2 2 2 3" xfId="3124" xr:uid="{00000000-0005-0000-0000-0000771A0000}"/>
    <cellStyle name="Normal 7 3 3 2 2 2 3 2" xfId="7370" xr:uid="{00000000-0005-0000-0000-0000781A0000}"/>
    <cellStyle name="Normal 7 3 3 2 2 2 4" xfId="5248" xr:uid="{00000000-0005-0000-0000-0000791A0000}"/>
    <cellStyle name="Normal 7 3 3 2 2 3" xfId="1532" xr:uid="{00000000-0005-0000-0000-00007A1A0000}"/>
    <cellStyle name="Normal 7 3 3 2 2 3 2" xfId="3654" xr:uid="{00000000-0005-0000-0000-00007B1A0000}"/>
    <cellStyle name="Normal 7 3 3 2 2 3 2 2" xfId="7900" xr:uid="{00000000-0005-0000-0000-00007C1A0000}"/>
    <cellStyle name="Normal 7 3 3 2 2 3 3" xfId="5778" xr:uid="{00000000-0005-0000-0000-00007D1A0000}"/>
    <cellStyle name="Normal 7 3 3 2 2 4" xfId="2595" xr:uid="{00000000-0005-0000-0000-00007E1A0000}"/>
    <cellStyle name="Normal 7 3 3 2 2 4 2" xfId="6841" xr:uid="{00000000-0005-0000-0000-00007F1A0000}"/>
    <cellStyle name="Normal 7 3 3 2 2 5" xfId="4719" xr:uid="{00000000-0005-0000-0000-0000801A0000}"/>
    <cellStyle name="Normal 7 3 3 2 3" xfId="739" xr:uid="{00000000-0005-0000-0000-0000811A0000}"/>
    <cellStyle name="Normal 7 3 3 2 3 2" xfId="1798" xr:uid="{00000000-0005-0000-0000-0000821A0000}"/>
    <cellStyle name="Normal 7 3 3 2 3 2 2" xfId="3920" xr:uid="{00000000-0005-0000-0000-0000831A0000}"/>
    <cellStyle name="Normal 7 3 3 2 3 2 2 2" xfId="8166" xr:uid="{00000000-0005-0000-0000-0000841A0000}"/>
    <cellStyle name="Normal 7 3 3 2 3 2 3" xfId="6044" xr:uid="{00000000-0005-0000-0000-0000851A0000}"/>
    <cellStyle name="Normal 7 3 3 2 3 3" xfId="2861" xr:uid="{00000000-0005-0000-0000-0000861A0000}"/>
    <cellStyle name="Normal 7 3 3 2 3 3 2" xfId="7107" xr:uid="{00000000-0005-0000-0000-0000871A0000}"/>
    <cellStyle name="Normal 7 3 3 2 3 4" xfId="4985" xr:uid="{00000000-0005-0000-0000-0000881A0000}"/>
    <cellStyle name="Normal 7 3 3 2 4" xfId="1269" xr:uid="{00000000-0005-0000-0000-0000891A0000}"/>
    <cellStyle name="Normal 7 3 3 2 4 2" xfId="3391" xr:uid="{00000000-0005-0000-0000-00008A1A0000}"/>
    <cellStyle name="Normal 7 3 3 2 4 2 2" xfId="7637" xr:uid="{00000000-0005-0000-0000-00008B1A0000}"/>
    <cellStyle name="Normal 7 3 3 2 4 3" xfId="5515" xr:uid="{00000000-0005-0000-0000-00008C1A0000}"/>
    <cellStyle name="Normal 7 3 3 2 5" xfId="2332" xr:uid="{00000000-0005-0000-0000-00008D1A0000}"/>
    <cellStyle name="Normal 7 3 3 2 5 2" xfId="6578" xr:uid="{00000000-0005-0000-0000-00008E1A0000}"/>
    <cellStyle name="Normal 7 3 3 2 6" xfId="4456" xr:uid="{00000000-0005-0000-0000-00008F1A0000}"/>
    <cellStyle name="Normal 7 3 3 3" xfId="341" xr:uid="{00000000-0005-0000-0000-0000901A0000}"/>
    <cellStyle name="Normal 7 3 3 3 2" xfId="871" xr:uid="{00000000-0005-0000-0000-0000911A0000}"/>
    <cellStyle name="Normal 7 3 3 3 2 2" xfId="1930" xr:uid="{00000000-0005-0000-0000-0000921A0000}"/>
    <cellStyle name="Normal 7 3 3 3 2 2 2" xfId="4052" xr:uid="{00000000-0005-0000-0000-0000931A0000}"/>
    <cellStyle name="Normal 7 3 3 3 2 2 2 2" xfId="8298" xr:uid="{00000000-0005-0000-0000-0000941A0000}"/>
    <cellStyle name="Normal 7 3 3 3 2 2 3" xfId="6176" xr:uid="{00000000-0005-0000-0000-0000951A0000}"/>
    <cellStyle name="Normal 7 3 3 3 2 3" xfId="2993" xr:uid="{00000000-0005-0000-0000-0000961A0000}"/>
    <cellStyle name="Normal 7 3 3 3 2 3 2" xfId="7239" xr:uid="{00000000-0005-0000-0000-0000971A0000}"/>
    <cellStyle name="Normal 7 3 3 3 2 4" xfId="5117" xr:uid="{00000000-0005-0000-0000-0000981A0000}"/>
    <cellStyle name="Normal 7 3 3 3 3" xfId="1401" xr:uid="{00000000-0005-0000-0000-0000991A0000}"/>
    <cellStyle name="Normal 7 3 3 3 3 2" xfId="3523" xr:uid="{00000000-0005-0000-0000-00009A1A0000}"/>
    <cellStyle name="Normal 7 3 3 3 3 2 2" xfId="7769" xr:uid="{00000000-0005-0000-0000-00009B1A0000}"/>
    <cellStyle name="Normal 7 3 3 3 3 3" xfId="5647" xr:uid="{00000000-0005-0000-0000-00009C1A0000}"/>
    <cellStyle name="Normal 7 3 3 3 4" xfId="2464" xr:uid="{00000000-0005-0000-0000-00009D1A0000}"/>
    <cellStyle name="Normal 7 3 3 3 4 2" xfId="6710" xr:uid="{00000000-0005-0000-0000-00009E1A0000}"/>
    <cellStyle name="Normal 7 3 3 3 5" xfId="4588" xr:uid="{00000000-0005-0000-0000-00009F1A0000}"/>
    <cellStyle name="Normal 7 3 3 4" xfId="608" xr:uid="{00000000-0005-0000-0000-0000A01A0000}"/>
    <cellStyle name="Normal 7 3 3 4 2" xfId="1667" xr:uid="{00000000-0005-0000-0000-0000A11A0000}"/>
    <cellStyle name="Normal 7 3 3 4 2 2" xfId="3789" xr:uid="{00000000-0005-0000-0000-0000A21A0000}"/>
    <cellStyle name="Normal 7 3 3 4 2 2 2" xfId="8035" xr:uid="{00000000-0005-0000-0000-0000A31A0000}"/>
    <cellStyle name="Normal 7 3 3 4 2 3" xfId="5913" xr:uid="{00000000-0005-0000-0000-0000A41A0000}"/>
    <cellStyle name="Normal 7 3 3 4 3" xfId="2730" xr:uid="{00000000-0005-0000-0000-0000A51A0000}"/>
    <cellStyle name="Normal 7 3 3 4 3 2" xfId="6976" xr:uid="{00000000-0005-0000-0000-0000A61A0000}"/>
    <cellStyle name="Normal 7 3 3 4 4" xfId="4854" xr:uid="{00000000-0005-0000-0000-0000A71A0000}"/>
    <cellStyle name="Normal 7 3 3 5" xfId="1138" xr:uid="{00000000-0005-0000-0000-0000A81A0000}"/>
    <cellStyle name="Normal 7 3 3 5 2" xfId="3260" xr:uid="{00000000-0005-0000-0000-0000A91A0000}"/>
    <cellStyle name="Normal 7 3 3 5 2 2" xfId="7506" xr:uid="{00000000-0005-0000-0000-0000AA1A0000}"/>
    <cellStyle name="Normal 7 3 3 5 3" xfId="5384" xr:uid="{00000000-0005-0000-0000-0000AB1A0000}"/>
    <cellStyle name="Normal 7 3 3 6" xfId="2201" xr:uid="{00000000-0005-0000-0000-0000AC1A0000}"/>
    <cellStyle name="Normal 7 3 3 6 2" xfId="6447" xr:uid="{00000000-0005-0000-0000-0000AD1A0000}"/>
    <cellStyle name="Normal 7 3 3 7" xfId="4325" xr:uid="{00000000-0005-0000-0000-0000AE1A0000}"/>
    <cellStyle name="Normal 7 3 4" xfId="166" xr:uid="{00000000-0005-0000-0000-0000AF1A0000}"/>
    <cellStyle name="Normal 7 3 4 2" xfId="429" xr:uid="{00000000-0005-0000-0000-0000B01A0000}"/>
    <cellStyle name="Normal 7 3 4 2 2" xfId="959" xr:uid="{00000000-0005-0000-0000-0000B11A0000}"/>
    <cellStyle name="Normal 7 3 4 2 2 2" xfId="2018" xr:uid="{00000000-0005-0000-0000-0000B21A0000}"/>
    <cellStyle name="Normal 7 3 4 2 2 2 2" xfId="4140" xr:uid="{00000000-0005-0000-0000-0000B31A0000}"/>
    <cellStyle name="Normal 7 3 4 2 2 2 2 2" xfId="8386" xr:uid="{00000000-0005-0000-0000-0000B41A0000}"/>
    <cellStyle name="Normal 7 3 4 2 2 2 3" xfId="6264" xr:uid="{00000000-0005-0000-0000-0000B51A0000}"/>
    <cellStyle name="Normal 7 3 4 2 2 3" xfId="3081" xr:uid="{00000000-0005-0000-0000-0000B61A0000}"/>
    <cellStyle name="Normal 7 3 4 2 2 3 2" xfId="7327" xr:uid="{00000000-0005-0000-0000-0000B71A0000}"/>
    <cellStyle name="Normal 7 3 4 2 2 4" xfId="5205" xr:uid="{00000000-0005-0000-0000-0000B81A0000}"/>
    <cellStyle name="Normal 7 3 4 2 3" xfId="1489" xr:uid="{00000000-0005-0000-0000-0000B91A0000}"/>
    <cellStyle name="Normal 7 3 4 2 3 2" xfId="3611" xr:uid="{00000000-0005-0000-0000-0000BA1A0000}"/>
    <cellStyle name="Normal 7 3 4 2 3 2 2" xfId="7857" xr:uid="{00000000-0005-0000-0000-0000BB1A0000}"/>
    <cellStyle name="Normal 7 3 4 2 3 3" xfId="5735" xr:uid="{00000000-0005-0000-0000-0000BC1A0000}"/>
    <cellStyle name="Normal 7 3 4 2 4" xfId="2552" xr:uid="{00000000-0005-0000-0000-0000BD1A0000}"/>
    <cellStyle name="Normal 7 3 4 2 4 2" xfId="6798" xr:uid="{00000000-0005-0000-0000-0000BE1A0000}"/>
    <cellStyle name="Normal 7 3 4 2 5" xfId="4676" xr:uid="{00000000-0005-0000-0000-0000BF1A0000}"/>
    <cellStyle name="Normal 7 3 4 3" xfId="696" xr:uid="{00000000-0005-0000-0000-0000C01A0000}"/>
    <cellStyle name="Normal 7 3 4 3 2" xfId="1755" xr:uid="{00000000-0005-0000-0000-0000C11A0000}"/>
    <cellStyle name="Normal 7 3 4 3 2 2" xfId="3877" xr:uid="{00000000-0005-0000-0000-0000C21A0000}"/>
    <cellStyle name="Normal 7 3 4 3 2 2 2" xfId="8123" xr:uid="{00000000-0005-0000-0000-0000C31A0000}"/>
    <cellStyle name="Normal 7 3 4 3 2 3" xfId="6001" xr:uid="{00000000-0005-0000-0000-0000C41A0000}"/>
    <cellStyle name="Normal 7 3 4 3 3" xfId="2818" xr:uid="{00000000-0005-0000-0000-0000C51A0000}"/>
    <cellStyle name="Normal 7 3 4 3 3 2" xfId="7064" xr:uid="{00000000-0005-0000-0000-0000C61A0000}"/>
    <cellStyle name="Normal 7 3 4 3 4" xfId="4942" xr:uid="{00000000-0005-0000-0000-0000C71A0000}"/>
    <cellStyle name="Normal 7 3 4 4" xfId="1226" xr:uid="{00000000-0005-0000-0000-0000C81A0000}"/>
    <cellStyle name="Normal 7 3 4 4 2" xfId="3348" xr:uid="{00000000-0005-0000-0000-0000C91A0000}"/>
    <cellStyle name="Normal 7 3 4 4 2 2" xfId="7594" xr:uid="{00000000-0005-0000-0000-0000CA1A0000}"/>
    <cellStyle name="Normal 7 3 4 4 3" xfId="5472" xr:uid="{00000000-0005-0000-0000-0000CB1A0000}"/>
    <cellStyle name="Normal 7 3 4 5" xfId="2289" xr:uid="{00000000-0005-0000-0000-0000CC1A0000}"/>
    <cellStyle name="Normal 7 3 4 5 2" xfId="6535" xr:uid="{00000000-0005-0000-0000-0000CD1A0000}"/>
    <cellStyle name="Normal 7 3 4 6" xfId="4413" xr:uid="{00000000-0005-0000-0000-0000CE1A0000}"/>
    <cellStyle name="Normal 7 3 5" xfId="298" xr:uid="{00000000-0005-0000-0000-0000CF1A0000}"/>
    <cellStyle name="Normal 7 3 5 2" xfId="828" xr:uid="{00000000-0005-0000-0000-0000D01A0000}"/>
    <cellStyle name="Normal 7 3 5 2 2" xfId="1887" xr:uid="{00000000-0005-0000-0000-0000D11A0000}"/>
    <cellStyle name="Normal 7 3 5 2 2 2" xfId="4009" xr:uid="{00000000-0005-0000-0000-0000D21A0000}"/>
    <cellStyle name="Normal 7 3 5 2 2 2 2" xfId="8255" xr:uid="{00000000-0005-0000-0000-0000D31A0000}"/>
    <cellStyle name="Normal 7 3 5 2 2 3" xfId="6133" xr:uid="{00000000-0005-0000-0000-0000D41A0000}"/>
    <cellStyle name="Normal 7 3 5 2 3" xfId="2950" xr:uid="{00000000-0005-0000-0000-0000D51A0000}"/>
    <cellStyle name="Normal 7 3 5 2 3 2" xfId="7196" xr:uid="{00000000-0005-0000-0000-0000D61A0000}"/>
    <cellStyle name="Normal 7 3 5 2 4" xfId="5074" xr:uid="{00000000-0005-0000-0000-0000D71A0000}"/>
    <cellStyle name="Normal 7 3 5 3" xfId="1358" xr:uid="{00000000-0005-0000-0000-0000D81A0000}"/>
    <cellStyle name="Normal 7 3 5 3 2" xfId="3480" xr:uid="{00000000-0005-0000-0000-0000D91A0000}"/>
    <cellStyle name="Normal 7 3 5 3 2 2" xfId="7726" xr:uid="{00000000-0005-0000-0000-0000DA1A0000}"/>
    <cellStyle name="Normal 7 3 5 3 3" xfId="5604" xr:uid="{00000000-0005-0000-0000-0000DB1A0000}"/>
    <cellStyle name="Normal 7 3 5 4" xfId="2421" xr:uid="{00000000-0005-0000-0000-0000DC1A0000}"/>
    <cellStyle name="Normal 7 3 5 4 2" xfId="6667" xr:uid="{00000000-0005-0000-0000-0000DD1A0000}"/>
    <cellStyle name="Normal 7 3 5 5" xfId="4545" xr:uid="{00000000-0005-0000-0000-0000DE1A0000}"/>
    <cellStyle name="Normal 7 3 6" xfId="565" xr:uid="{00000000-0005-0000-0000-0000DF1A0000}"/>
    <cellStyle name="Normal 7 3 6 2" xfId="1624" xr:uid="{00000000-0005-0000-0000-0000E01A0000}"/>
    <cellStyle name="Normal 7 3 6 2 2" xfId="3746" xr:uid="{00000000-0005-0000-0000-0000E11A0000}"/>
    <cellStyle name="Normal 7 3 6 2 2 2" xfId="7992" xr:uid="{00000000-0005-0000-0000-0000E21A0000}"/>
    <cellStyle name="Normal 7 3 6 2 3" xfId="5870" xr:uid="{00000000-0005-0000-0000-0000E31A0000}"/>
    <cellStyle name="Normal 7 3 6 3" xfId="2687" xr:uid="{00000000-0005-0000-0000-0000E41A0000}"/>
    <cellStyle name="Normal 7 3 6 3 2" xfId="6933" xr:uid="{00000000-0005-0000-0000-0000E51A0000}"/>
    <cellStyle name="Normal 7 3 6 4" xfId="4811" xr:uid="{00000000-0005-0000-0000-0000E61A0000}"/>
    <cellStyle name="Normal 7 3 7" xfId="1095" xr:uid="{00000000-0005-0000-0000-0000E71A0000}"/>
    <cellStyle name="Normal 7 3 7 2" xfId="3217" xr:uid="{00000000-0005-0000-0000-0000E81A0000}"/>
    <cellStyle name="Normal 7 3 7 2 2" xfId="7463" xr:uid="{00000000-0005-0000-0000-0000E91A0000}"/>
    <cellStyle name="Normal 7 3 7 3" xfId="5341" xr:uid="{00000000-0005-0000-0000-0000EA1A0000}"/>
    <cellStyle name="Normal 7 3 8" xfId="2158" xr:uid="{00000000-0005-0000-0000-0000EB1A0000}"/>
    <cellStyle name="Normal 7 3 8 2" xfId="6404" xr:uid="{00000000-0005-0000-0000-0000EC1A0000}"/>
    <cellStyle name="Normal 7 3 9" xfId="4282" xr:uid="{00000000-0005-0000-0000-0000ED1A0000}"/>
    <cellStyle name="Normal 7 4" xfId="100" xr:uid="{00000000-0005-0000-0000-0000EE1A0000}"/>
    <cellStyle name="Normal 7 4 2" xfId="231" xr:uid="{00000000-0005-0000-0000-0000EF1A0000}"/>
    <cellStyle name="Normal 7 4 2 2" xfId="494" xr:uid="{00000000-0005-0000-0000-0000F01A0000}"/>
    <cellStyle name="Normal 7 4 2 2 2" xfId="1024" xr:uid="{00000000-0005-0000-0000-0000F11A0000}"/>
    <cellStyle name="Normal 7 4 2 2 2 2" xfId="2083" xr:uid="{00000000-0005-0000-0000-0000F21A0000}"/>
    <cellStyle name="Normal 7 4 2 2 2 2 2" xfId="4205" xr:uid="{00000000-0005-0000-0000-0000F31A0000}"/>
    <cellStyle name="Normal 7 4 2 2 2 2 2 2" xfId="8451" xr:uid="{00000000-0005-0000-0000-0000F41A0000}"/>
    <cellStyle name="Normal 7 4 2 2 2 2 3" xfId="6329" xr:uid="{00000000-0005-0000-0000-0000F51A0000}"/>
    <cellStyle name="Normal 7 4 2 2 2 3" xfId="3146" xr:uid="{00000000-0005-0000-0000-0000F61A0000}"/>
    <cellStyle name="Normal 7 4 2 2 2 3 2" xfId="7392" xr:uid="{00000000-0005-0000-0000-0000F71A0000}"/>
    <cellStyle name="Normal 7 4 2 2 2 4" xfId="5270" xr:uid="{00000000-0005-0000-0000-0000F81A0000}"/>
    <cellStyle name="Normal 7 4 2 2 3" xfId="1554" xr:uid="{00000000-0005-0000-0000-0000F91A0000}"/>
    <cellStyle name="Normal 7 4 2 2 3 2" xfId="3676" xr:uid="{00000000-0005-0000-0000-0000FA1A0000}"/>
    <cellStyle name="Normal 7 4 2 2 3 2 2" xfId="7922" xr:uid="{00000000-0005-0000-0000-0000FB1A0000}"/>
    <cellStyle name="Normal 7 4 2 2 3 3" xfId="5800" xr:uid="{00000000-0005-0000-0000-0000FC1A0000}"/>
    <cellStyle name="Normal 7 4 2 2 4" xfId="2617" xr:uid="{00000000-0005-0000-0000-0000FD1A0000}"/>
    <cellStyle name="Normal 7 4 2 2 4 2" xfId="6863" xr:uid="{00000000-0005-0000-0000-0000FE1A0000}"/>
    <cellStyle name="Normal 7 4 2 2 5" xfId="4741" xr:uid="{00000000-0005-0000-0000-0000FF1A0000}"/>
    <cellStyle name="Normal 7 4 2 3" xfId="761" xr:uid="{00000000-0005-0000-0000-0000001B0000}"/>
    <cellStyle name="Normal 7 4 2 3 2" xfId="1820" xr:uid="{00000000-0005-0000-0000-0000011B0000}"/>
    <cellStyle name="Normal 7 4 2 3 2 2" xfId="3942" xr:uid="{00000000-0005-0000-0000-0000021B0000}"/>
    <cellStyle name="Normal 7 4 2 3 2 2 2" xfId="8188" xr:uid="{00000000-0005-0000-0000-0000031B0000}"/>
    <cellStyle name="Normal 7 4 2 3 2 3" xfId="6066" xr:uid="{00000000-0005-0000-0000-0000041B0000}"/>
    <cellStyle name="Normal 7 4 2 3 3" xfId="2883" xr:uid="{00000000-0005-0000-0000-0000051B0000}"/>
    <cellStyle name="Normal 7 4 2 3 3 2" xfId="7129" xr:uid="{00000000-0005-0000-0000-0000061B0000}"/>
    <cellStyle name="Normal 7 4 2 3 4" xfId="5007" xr:uid="{00000000-0005-0000-0000-0000071B0000}"/>
    <cellStyle name="Normal 7 4 2 4" xfId="1291" xr:uid="{00000000-0005-0000-0000-0000081B0000}"/>
    <cellStyle name="Normal 7 4 2 4 2" xfId="3413" xr:uid="{00000000-0005-0000-0000-0000091B0000}"/>
    <cellStyle name="Normal 7 4 2 4 2 2" xfId="7659" xr:uid="{00000000-0005-0000-0000-00000A1B0000}"/>
    <cellStyle name="Normal 7 4 2 4 3" xfId="5537" xr:uid="{00000000-0005-0000-0000-00000B1B0000}"/>
    <cellStyle name="Normal 7 4 2 5" xfId="2354" xr:uid="{00000000-0005-0000-0000-00000C1B0000}"/>
    <cellStyle name="Normal 7 4 2 5 2" xfId="6600" xr:uid="{00000000-0005-0000-0000-00000D1B0000}"/>
    <cellStyle name="Normal 7 4 2 6" xfId="4478" xr:uid="{00000000-0005-0000-0000-00000E1B0000}"/>
    <cellStyle name="Normal 7 4 3" xfId="363" xr:uid="{00000000-0005-0000-0000-00000F1B0000}"/>
    <cellStyle name="Normal 7 4 3 2" xfId="893" xr:uid="{00000000-0005-0000-0000-0000101B0000}"/>
    <cellStyle name="Normal 7 4 3 2 2" xfId="1952" xr:uid="{00000000-0005-0000-0000-0000111B0000}"/>
    <cellStyle name="Normal 7 4 3 2 2 2" xfId="4074" xr:uid="{00000000-0005-0000-0000-0000121B0000}"/>
    <cellStyle name="Normal 7 4 3 2 2 2 2" xfId="8320" xr:uid="{00000000-0005-0000-0000-0000131B0000}"/>
    <cellStyle name="Normal 7 4 3 2 2 3" xfId="6198" xr:uid="{00000000-0005-0000-0000-0000141B0000}"/>
    <cellStyle name="Normal 7 4 3 2 3" xfId="3015" xr:uid="{00000000-0005-0000-0000-0000151B0000}"/>
    <cellStyle name="Normal 7 4 3 2 3 2" xfId="7261" xr:uid="{00000000-0005-0000-0000-0000161B0000}"/>
    <cellStyle name="Normal 7 4 3 2 4" xfId="5139" xr:uid="{00000000-0005-0000-0000-0000171B0000}"/>
    <cellStyle name="Normal 7 4 3 3" xfId="1423" xr:uid="{00000000-0005-0000-0000-0000181B0000}"/>
    <cellStyle name="Normal 7 4 3 3 2" xfId="3545" xr:uid="{00000000-0005-0000-0000-0000191B0000}"/>
    <cellStyle name="Normal 7 4 3 3 2 2" xfId="7791" xr:uid="{00000000-0005-0000-0000-00001A1B0000}"/>
    <cellStyle name="Normal 7 4 3 3 3" xfId="5669" xr:uid="{00000000-0005-0000-0000-00001B1B0000}"/>
    <cellStyle name="Normal 7 4 3 4" xfId="2486" xr:uid="{00000000-0005-0000-0000-00001C1B0000}"/>
    <cellStyle name="Normal 7 4 3 4 2" xfId="6732" xr:uid="{00000000-0005-0000-0000-00001D1B0000}"/>
    <cellStyle name="Normal 7 4 3 5" xfId="4610" xr:uid="{00000000-0005-0000-0000-00001E1B0000}"/>
    <cellStyle name="Normal 7 4 4" xfId="630" xr:uid="{00000000-0005-0000-0000-00001F1B0000}"/>
    <cellStyle name="Normal 7 4 4 2" xfId="1689" xr:uid="{00000000-0005-0000-0000-0000201B0000}"/>
    <cellStyle name="Normal 7 4 4 2 2" xfId="3811" xr:uid="{00000000-0005-0000-0000-0000211B0000}"/>
    <cellStyle name="Normal 7 4 4 2 2 2" xfId="8057" xr:uid="{00000000-0005-0000-0000-0000221B0000}"/>
    <cellStyle name="Normal 7 4 4 2 3" xfId="5935" xr:uid="{00000000-0005-0000-0000-0000231B0000}"/>
    <cellStyle name="Normal 7 4 4 3" xfId="2752" xr:uid="{00000000-0005-0000-0000-0000241B0000}"/>
    <cellStyle name="Normal 7 4 4 3 2" xfId="6998" xr:uid="{00000000-0005-0000-0000-0000251B0000}"/>
    <cellStyle name="Normal 7 4 4 4" xfId="4876" xr:uid="{00000000-0005-0000-0000-0000261B0000}"/>
    <cellStyle name="Normal 7 4 5" xfId="1160" xr:uid="{00000000-0005-0000-0000-0000271B0000}"/>
    <cellStyle name="Normal 7 4 5 2" xfId="3282" xr:uid="{00000000-0005-0000-0000-0000281B0000}"/>
    <cellStyle name="Normal 7 4 5 2 2" xfId="7528" xr:uid="{00000000-0005-0000-0000-0000291B0000}"/>
    <cellStyle name="Normal 7 4 5 3" xfId="5406" xr:uid="{00000000-0005-0000-0000-00002A1B0000}"/>
    <cellStyle name="Normal 7 4 6" xfId="2223" xr:uid="{00000000-0005-0000-0000-00002B1B0000}"/>
    <cellStyle name="Normal 7 4 6 2" xfId="6469" xr:uid="{00000000-0005-0000-0000-00002C1B0000}"/>
    <cellStyle name="Normal 7 4 7" xfId="4347" xr:uid="{00000000-0005-0000-0000-00002D1B0000}"/>
    <cellStyle name="Normal 7 5" xfId="57" xr:uid="{00000000-0005-0000-0000-00002E1B0000}"/>
    <cellStyle name="Normal 7 5 2" xfId="189" xr:uid="{00000000-0005-0000-0000-00002F1B0000}"/>
    <cellStyle name="Normal 7 5 2 2" xfId="452" xr:uid="{00000000-0005-0000-0000-0000301B0000}"/>
    <cellStyle name="Normal 7 5 2 2 2" xfId="982" xr:uid="{00000000-0005-0000-0000-0000311B0000}"/>
    <cellStyle name="Normal 7 5 2 2 2 2" xfId="2041" xr:uid="{00000000-0005-0000-0000-0000321B0000}"/>
    <cellStyle name="Normal 7 5 2 2 2 2 2" xfId="4163" xr:uid="{00000000-0005-0000-0000-0000331B0000}"/>
    <cellStyle name="Normal 7 5 2 2 2 2 2 2" xfId="8409" xr:uid="{00000000-0005-0000-0000-0000341B0000}"/>
    <cellStyle name="Normal 7 5 2 2 2 2 3" xfId="6287" xr:uid="{00000000-0005-0000-0000-0000351B0000}"/>
    <cellStyle name="Normal 7 5 2 2 2 3" xfId="3104" xr:uid="{00000000-0005-0000-0000-0000361B0000}"/>
    <cellStyle name="Normal 7 5 2 2 2 3 2" xfId="7350" xr:uid="{00000000-0005-0000-0000-0000371B0000}"/>
    <cellStyle name="Normal 7 5 2 2 2 4" xfId="5228" xr:uid="{00000000-0005-0000-0000-0000381B0000}"/>
    <cellStyle name="Normal 7 5 2 2 3" xfId="1512" xr:uid="{00000000-0005-0000-0000-0000391B0000}"/>
    <cellStyle name="Normal 7 5 2 2 3 2" xfId="3634" xr:uid="{00000000-0005-0000-0000-00003A1B0000}"/>
    <cellStyle name="Normal 7 5 2 2 3 2 2" xfId="7880" xr:uid="{00000000-0005-0000-0000-00003B1B0000}"/>
    <cellStyle name="Normal 7 5 2 2 3 3" xfId="5758" xr:uid="{00000000-0005-0000-0000-00003C1B0000}"/>
    <cellStyle name="Normal 7 5 2 2 4" xfId="2575" xr:uid="{00000000-0005-0000-0000-00003D1B0000}"/>
    <cellStyle name="Normal 7 5 2 2 4 2" xfId="6821" xr:uid="{00000000-0005-0000-0000-00003E1B0000}"/>
    <cellStyle name="Normal 7 5 2 2 5" xfId="4699" xr:uid="{00000000-0005-0000-0000-00003F1B0000}"/>
    <cellStyle name="Normal 7 5 2 3" xfId="719" xr:uid="{00000000-0005-0000-0000-0000401B0000}"/>
    <cellStyle name="Normal 7 5 2 3 2" xfId="1778" xr:uid="{00000000-0005-0000-0000-0000411B0000}"/>
    <cellStyle name="Normal 7 5 2 3 2 2" xfId="3900" xr:uid="{00000000-0005-0000-0000-0000421B0000}"/>
    <cellStyle name="Normal 7 5 2 3 2 2 2" xfId="8146" xr:uid="{00000000-0005-0000-0000-0000431B0000}"/>
    <cellStyle name="Normal 7 5 2 3 2 3" xfId="6024" xr:uid="{00000000-0005-0000-0000-0000441B0000}"/>
    <cellStyle name="Normal 7 5 2 3 3" xfId="2841" xr:uid="{00000000-0005-0000-0000-0000451B0000}"/>
    <cellStyle name="Normal 7 5 2 3 3 2" xfId="7087" xr:uid="{00000000-0005-0000-0000-0000461B0000}"/>
    <cellStyle name="Normal 7 5 2 3 4" xfId="4965" xr:uid="{00000000-0005-0000-0000-0000471B0000}"/>
    <cellStyle name="Normal 7 5 2 4" xfId="1249" xr:uid="{00000000-0005-0000-0000-0000481B0000}"/>
    <cellStyle name="Normal 7 5 2 4 2" xfId="3371" xr:uid="{00000000-0005-0000-0000-0000491B0000}"/>
    <cellStyle name="Normal 7 5 2 4 2 2" xfId="7617" xr:uid="{00000000-0005-0000-0000-00004A1B0000}"/>
    <cellStyle name="Normal 7 5 2 4 3" xfId="5495" xr:uid="{00000000-0005-0000-0000-00004B1B0000}"/>
    <cellStyle name="Normal 7 5 2 5" xfId="2312" xr:uid="{00000000-0005-0000-0000-00004C1B0000}"/>
    <cellStyle name="Normal 7 5 2 5 2" xfId="6558" xr:uid="{00000000-0005-0000-0000-00004D1B0000}"/>
    <cellStyle name="Normal 7 5 2 6" xfId="4436" xr:uid="{00000000-0005-0000-0000-00004E1B0000}"/>
    <cellStyle name="Normal 7 5 3" xfId="321" xr:uid="{00000000-0005-0000-0000-00004F1B0000}"/>
    <cellStyle name="Normal 7 5 3 2" xfId="851" xr:uid="{00000000-0005-0000-0000-0000501B0000}"/>
    <cellStyle name="Normal 7 5 3 2 2" xfId="1910" xr:uid="{00000000-0005-0000-0000-0000511B0000}"/>
    <cellStyle name="Normal 7 5 3 2 2 2" xfId="4032" xr:uid="{00000000-0005-0000-0000-0000521B0000}"/>
    <cellStyle name="Normal 7 5 3 2 2 2 2" xfId="8278" xr:uid="{00000000-0005-0000-0000-0000531B0000}"/>
    <cellStyle name="Normal 7 5 3 2 2 3" xfId="6156" xr:uid="{00000000-0005-0000-0000-0000541B0000}"/>
    <cellStyle name="Normal 7 5 3 2 3" xfId="2973" xr:uid="{00000000-0005-0000-0000-0000551B0000}"/>
    <cellStyle name="Normal 7 5 3 2 3 2" xfId="7219" xr:uid="{00000000-0005-0000-0000-0000561B0000}"/>
    <cellStyle name="Normal 7 5 3 2 4" xfId="5097" xr:uid="{00000000-0005-0000-0000-0000571B0000}"/>
    <cellStyle name="Normal 7 5 3 3" xfId="1381" xr:uid="{00000000-0005-0000-0000-0000581B0000}"/>
    <cellStyle name="Normal 7 5 3 3 2" xfId="3503" xr:uid="{00000000-0005-0000-0000-0000591B0000}"/>
    <cellStyle name="Normal 7 5 3 3 2 2" xfId="7749" xr:uid="{00000000-0005-0000-0000-00005A1B0000}"/>
    <cellStyle name="Normal 7 5 3 3 3" xfId="5627" xr:uid="{00000000-0005-0000-0000-00005B1B0000}"/>
    <cellStyle name="Normal 7 5 3 4" xfId="2444" xr:uid="{00000000-0005-0000-0000-00005C1B0000}"/>
    <cellStyle name="Normal 7 5 3 4 2" xfId="6690" xr:uid="{00000000-0005-0000-0000-00005D1B0000}"/>
    <cellStyle name="Normal 7 5 3 5" xfId="4568" xr:uid="{00000000-0005-0000-0000-00005E1B0000}"/>
    <cellStyle name="Normal 7 5 4" xfId="588" xr:uid="{00000000-0005-0000-0000-00005F1B0000}"/>
    <cellStyle name="Normal 7 5 4 2" xfId="1647" xr:uid="{00000000-0005-0000-0000-0000601B0000}"/>
    <cellStyle name="Normal 7 5 4 2 2" xfId="3769" xr:uid="{00000000-0005-0000-0000-0000611B0000}"/>
    <cellStyle name="Normal 7 5 4 2 2 2" xfId="8015" xr:uid="{00000000-0005-0000-0000-0000621B0000}"/>
    <cellStyle name="Normal 7 5 4 2 3" xfId="5893" xr:uid="{00000000-0005-0000-0000-0000631B0000}"/>
    <cellStyle name="Normal 7 5 4 3" xfId="2710" xr:uid="{00000000-0005-0000-0000-0000641B0000}"/>
    <cellStyle name="Normal 7 5 4 3 2" xfId="6956" xr:uid="{00000000-0005-0000-0000-0000651B0000}"/>
    <cellStyle name="Normal 7 5 4 4" xfId="4834" xr:uid="{00000000-0005-0000-0000-0000661B0000}"/>
    <cellStyle name="Normal 7 5 5" xfId="1118" xr:uid="{00000000-0005-0000-0000-0000671B0000}"/>
    <cellStyle name="Normal 7 5 5 2" xfId="3240" xr:uid="{00000000-0005-0000-0000-0000681B0000}"/>
    <cellStyle name="Normal 7 5 5 2 2" xfId="7486" xr:uid="{00000000-0005-0000-0000-0000691B0000}"/>
    <cellStyle name="Normal 7 5 5 3" xfId="5364" xr:uid="{00000000-0005-0000-0000-00006A1B0000}"/>
    <cellStyle name="Normal 7 5 6" xfId="2181" xr:uid="{00000000-0005-0000-0000-00006B1B0000}"/>
    <cellStyle name="Normal 7 5 6 2" xfId="6427" xr:uid="{00000000-0005-0000-0000-00006C1B0000}"/>
    <cellStyle name="Normal 7 5 7" xfId="4305" xr:uid="{00000000-0005-0000-0000-00006D1B0000}"/>
    <cellStyle name="Normal 7 6" xfId="145" xr:uid="{00000000-0005-0000-0000-00006E1B0000}"/>
    <cellStyle name="Normal 7 6 2" xfId="408" xr:uid="{00000000-0005-0000-0000-00006F1B0000}"/>
    <cellStyle name="Normal 7 6 2 2" xfId="938" xr:uid="{00000000-0005-0000-0000-0000701B0000}"/>
    <cellStyle name="Normal 7 6 2 2 2" xfId="1997" xr:uid="{00000000-0005-0000-0000-0000711B0000}"/>
    <cellStyle name="Normal 7 6 2 2 2 2" xfId="4119" xr:uid="{00000000-0005-0000-0000-0000721B0000}"/>
    <cellStyle name="Normal 7 6 2 2 2 2 2" xfId="8365" xr:uid="{00000000-0005-0000-0000-0000731B0000}"/>
    <cellStyle name="Normal 7 6 2 2 2 3" xfId="6243" xr:uid="{00000000-0005-0000-0000-0000741B0000}"/>
    <cellStyle name="Normal 7 6 2 2 3" xfId="3060" xr:uid="{00000000-0005-0000-0000-0000751B0000}"/>
    <cellStyle name="Normal 7 6 2 2 3 2" xfId="7306" xr:uid="{00000000-0005-0000-0000-0000761B0000}"/>
    <cellStyle name="Normal 7 6 2 2 4" xfId="5184" xr:uid="{00000000-0005-0000-0000-0000771B0000}"/>
    <cellStyle name="Normal 7 6 2 3" xfId="1468" xr:uid="{00000000-0005-0000-0000-0000781B0000}"/>
    <cellStyle name="Normal 7 6 2 3 2" xfId="3590" xr:uid="{00000000-0005-0000-0000-0000791B0000}"/>
    <cellStyle name="Normal 7 6 2 3 2 2" xfId="7836" xr:uid="{00000000-0005-0000-0000-00007A1B0000}"/>
    <cellStyle name="Normal 7 6 2 3 3" xfId="5714" xr:uid="{00000000-0005-0000-0000-00007B1B0000}"/>
    <cellStyle name="Normal 7 6 2 4" xfId="2531" xr:uid="{00000000-0005-0000-0000-00007C1B0000}"/>
    <cellStyle name="Normal 7 6 2 4 2" xfId="6777" xr:uid="{00000000-0005-0000-0000-00007D1B0000}"/>
    <cellStyle name="Normal 7 6 2 5" xfId="4655" xr:uid="{00000000-0005-0000-0000-00007E1B0000}"/>
    <cellStyle name="Normal 7 6 3" xfId="675" xr:uid="{00000000-0005-0000-0000-00007F1B0000}"/>
    <cellStyle name="Normal 7 6 3 2" xfId="1734" xr:uid="{00000000-0005-0000-0000-0000801B0000}"/>
    <cellStyle name="Normal 7 6 3 2 2" xfId="3856" xr:uid="{00000000-0005-0000-0000-0000811B0000}"/>
    <cellStyle name="Normal 7 6 3 2 2 2" xfId="8102" xr:uid="{00000000-0005-0000-0000-0000821B0000}"/>
    <cellStyle name="Normal 7 6 3 2 3" xfId="5980" xr:uid="{00000000-0005-0000-0000-0000831B0000}"/>
    <cellStyle name="Normal 7 6 3 3" xfId="2797" xr:uid="{00000000-0005-0000-0000-0000841B0000}"/>
    <cellStyle name="Normal 7 6 3 3 2" xfId="7043" xr:uid="{00000000-0005-0000-0000-0000851B0000}"/>
    <cellStyle name="Normal 7 6 3 4" xfId="4921" xr:uid="{00000000-0005-0000-0000-0000861B0000}"/>
    <cellStyle name="Normal 7 6 4" xfId="1205" xr:uid="{00000000-0005-0000-0000-0000871B0000}"/>
    <cellStyle name="Normal 7 6 4 2" xfId="3327" xr:uid="{00000000-0005-0000-0000-0000881B0000}"/>
    <cellStyle name="Normal 7 6 4 2 2" xfId="7573" xr:uid="{00000000-0005-0000-0000-0000891B0000}"/>
    <cellStyle name="Normal 7 6 4 3" xfId="5451" xr:uid="{00000000-0005-0000-0000-00008A1B0000}"/>
    <cellStyle name="Normal 7 6 5" xfId="2268" xr:uid="{00000000-0005-0000-0000-00008B1B0000}"/>
    <cellStyle name="Normal 7 6 5 2" xfId="6514" xr:uid="{00000000-0005-0000-0000-00008C1B0000}"/>
    <cellStyle name="Normal 7 6 6" xfId="4392" xr:uid="{00000000-0005-0000-0000-00008D1B0000}"/>
    <cellStyle name="Normal 7 7" xfId="277" xr:uid="{00000000-0005-0000-0000-00008E1B0000}"/>
    <cellStyle name="Normal 7 7 2" xfId="807" xr:uid="{00000000-0005-0000-0000-00008F1B0000}"/>
    <cellStyle name="Normal 7 7 2 2" xfId="1866" xr:uid="{00000000-0005-0000-0000-0000901B0000}"/>
    <cellStyle name="Normal 7 7 2 2 2" xfId="3988" xr:uid="{00000000-0005-0000-0000-0000911B0000}"/>
    <cellStyle name="Normal 7 7 2 2 2 2" xfId="8234" xr:uid="{00000000-0005-0000-0000-0000921B0000}"/>
    <cellStyle name="Normal 7 7 2 2 3" xfId="6112" xr:uid="{00000000-0005-0000-0000-0000931B0000}"/>
    <cellStyle name="Normal 7 7 2 3" xfId="2929" xr:uid="{00000000-0005-0000-0000-0000941B0000}"/>
    <cellStyle name="Normal 7 7 2 3 2" xfId="7175" xr:uid="{00000000-0005-0000-0000-0000951B0000}"/>
    <cellStyle name="Normal 7 7 2 4" xfId="5053" xr:uid="{00000000-0005-0000-0000-0000961B0000}"/>
    <cellStyle name="Normal 7 7 3" xfId="1337" xr:uid="{00000000-0005-0000-0000-0000971B0000}"/>
    <cellStyle name="Normal 7 7 3 2" xfId="3459" xr:uid="{00000000-0005-0000-0000-0000981B0000}"/>
    <cellStyle name="Normal 7 7 3 2 2" xfId="7705" xr:uid="{00000000-0005-0000-0000-0000991B0000}"/>
    <cellStyle name="Normal 7 7 3 3" xfId="5583" xr:uid="{00000000-0005-0000-0000-00009A1B0000}"/>
    <cellStyle name="Normal 7 7 4" xfId="2400" xr:uid="{00000000-0005-0000-0000-00009B1B0000}"/>
    <cellStyle name="Normal 7 7 4 2" xfId="6646" xr:uid="{00000000-0005-0000-0000-00009C1B0000}"/>
    <cellStyle name="Normal 7 7 5" xfId="4524" xr:uid="{00000000-0005-0000-0000-00009D1B0000}"/>
    <cellStyle name="Normal 7 8" xfId="544" xr:uid="{00000000-0005-0000-0000-00009E1B0000}"/>
    <cellStyle name="Normal 7 8 2" xfId="1603" xr:uid="{00000000-0005-0000-0000-00009F1B0000}"/>
    <cellStyle name="Normal 7 8 2 2" xfId="3725" xr:uid="{00000000-0005-0000-0000-0000A01B0000}"/>
    <cellStyle name="Normal 7 8 2 2 2" xfId="7971" xr:uid="{00000000-0005-0000-0000-0000A11B0000}"/>
    <cellStyle name="Normal 7 8 2 3" xfId="5849" xr:uid="{00000000-0005-0000-0000-0000A21B0000}"/>
    <cellStyle name="Normal 7 8 3" xfId="2666" xr:uid="{00000000-0005-0000-0000-0000A31B0000}"/>
    <cellStyle name="Normal 7 8 3 2" xfId="6912" xr:uid="{00000000-0005-0000-0000-0000A41B0000}"/>
    <cellStyle name="Normal 7 8 4" xfId="4790" xr:uid="{00000000-0005-0000-0000-0000A51B0000}"/>
    <cellStyle name="Normal 7 9" xfId="1074" xr:uid="{00000000-0005-0000-0000-0000A61B0000}"/>
    <cellStyle name="Normal 7 9 2" xfId="3196" xr:uid="{00000000-0005-0000-0000-0000A71B0000}"/>
    <cellStyle name="Normal 7 9 2 2" xfId="7442" xr:uid="{00000000-0005-0000-0000-0000A81B0000}"/>
    <cellStyle name="Normal 7 9 3" xfId="5320" xr:uid="{00000000-0005-0000-0000-0000A91B0000}"/>
    <cellStyle name="Normal 8" xfId="14" xr:uid="{00000000-0005-0000-0000-0000AA1B0000}"/>
    <cellStyle name="Normal 8 10" xfId="2138" xr:uid="{00000000-0005-0000-0000-0000AB1B0000}"/>
    <cellStyle name="Normal 8 10 2" xfId="6384" xr:uid="{00000000-0005-0000-0000-0000AC1B0000}"/>
    <cellStyle name="Normal 8 11" xfId="4262" xr:uid="{00000000-0005-0000-0000-0000AD1B0000}"/>
    <cellStyle name="Normal 8 2" xfId="25" xr:uid="{00000000-0005-0000-0000-0000AE1B0000}"/>
    <cellStyle name="Normal 8 2 10" xfId="4273" xr:uid="{00000000-0005-0000-0000-0000AF1B0000}"/>
    <cellStyle name="Normal 8 2 2" xfId="46" xr:uid="{00000000-0005-0000-0000-0000B01B0000}"/>
    <cellStyle name="Normal 8 2 2 2" xfId="132" xr:uid="{00000000-0005-0000-0000-0000B11B0000}"/>
    <cellStyle name="Normal 8 2 2 2 2" xfId="263" xr:uid="{00000000-0005-0000-0000-0000B21B0000}"/>
    <cellStyle name="Normal 8 2 2 2 2 2" xfId="526" xr:uid="{00000000-0005-0000-0000-0000B31B0000}"/>
    <cellStyle name="Normal 8 2 2 2 2 2 2" xfId="1056" xr:uid="{00000000-0005-0000-0000-0000B41B0000}"/>
    <cellStyle name="Normal 8 2 2 2 2 2 2 2" xfId="2115" xr:uid="{00000000-0005-0000-0000-0000B51B0000}"/>
    <cellStyle name="Normal 8 2 2 2 2 2 2 2 2" xfId="4237" xr:uid="{00000000-0005-0000-0000-0000B61B0000}"/>
    <cellStyle name="Normal 8 2 2 2 2 2 2 2 2 2" xfId="8483" xr:uid="{00000000-0005-0000-0000-0000B71B0000}"/>
    <cellStyle name="Normal 8 2 2 2 2 2 2 2 3" xfId="6361" xr:uid="{00000000-0005-0000-0000-0000B81B0000}"/>
    <cellStyle name="Normal 8 2 2 2 2 2 2 3" xfId="3178" xr:uid="{00000000-0005-0000-0000-0000B91B0000}"/>
    <cellStyle name="Normal 8 2 2 2 2 2 2 3 2" xfId="7424" xr:uid="{00000000-0005-0000-0000-0000BA1B0000}"/>
    <cellStyle name="Normal 8 2 2 2 2 2 2 4" xfId="5302" xr:uid="{00000000-0005-0000-0000-0000BB1B0000}"/>
    <cellStyle name="Normal 8 2 2 2 2 2 3" xfId="1586" xr:uid="{00000000-0005-0000-0000-0000BC1B0000}"/>
    <cellStyle name="Normal 8 2 2 2 2 2 3 2" xfId="3708" xr:uid="{00000000-0005-0000-0000-0000BD1B0000}"/>
    <cellStyle name="Normal 8 2 2 2 2 2 3 2 2" xfId="7954" xr:uid="{00000000-0005-0000-0000-0000BE1B0000}"/>
    <cellStyle name="Normal 8 2 2 2 2 2 3 3" xfId="5832" xr:uid="{00000000-0005-0000-0000-0000BF1B0000}"/>
    <cellStyle name="Normal 8 2 2 2 2 2 4" xfId="2649" xr:uid="{00000000-0005-0000-0000-0000C01B0000}"/>
    <cellStyle name="Normal 8 2 2 2 2 2 4 2" xfId="6895" xr:uid="{00000000-0005-0000-0000-0000C11B0000}"/>
    <cellStyle name="Normal 8 2 2 2 2 2 5" xfId="4773" xr:uid="{00000000-0005-0000-0000-0000C21B0000}"/>
    <cellStyle name="Normal 8 2 2 2 2 3" xfId="793" xr:uid="{00000000-0005-0000-0000-0000C31B0000}"/>
    <cellStyle name="Normal 8 2 2 2 2 3 2" xfId="1852" xr:uid="{00000000-0005-0000-0000-0000C41B0000}"/>
    <cellStyle name="Normal 8 2 2 2 2 3 2 2" xfId="3974" xr:uid="{00000000-0005-0000-0000-0000C51B0000}"/>
    <cellStyle name="Normal 8 2 2 2 2 3 2 2 2" xfId="8220" xr:uid="{00000000-0005-0000-0000-0000C61B0000}"/>
    <cellStyle name="Normal 8 2 2 2 2 3 2 3" xfId="6098" xr:uid="{00000000-0005-0000-0000-0000C71B0000}"/>
    <cellStyle name="Normal 8 2 2 2 2 3 3" xfId="2915" xr:uid="{00000000-0005-0000-0000-0000C81B0000}"/>
    <cellStyle name="Normal 8 2 2 2 2 3 3 2" xfId="7161" xr:uid="{00000000-0005-0000-0000-0000C91B0000}"/>
    <cellStyle name="Normal 8 2 2 2 2 3 4" xfId="5039" xr:uid="{00000000-0005-0000-0000-0000CA1B0000}"/>
    <cellStyle name="Normal 8 2 2 2 2 4" xfId="1323" xr:uid="{00000000-0005-0000-0000-0000CB1B0000}"/>
    <cellStyle name="Normal 8 2 2 2 2 4 2" xfId="3445" xr:uid="{00000000-0005-0000-0000-0000CC1B0000}"/>
    <cellStyle name="Normal 8 2 2 2 2 4 2 2" xfId="7691" xr:uid="{00000000-0005-0000-0000-0000CD1B0000}"/>
    <cellStyle name="Normal 8 2 2 2 2 4 3" xfId="5569" xr:uid="{00000000-0005-0000-0000-0000CE1B0000}"/>
    <cellStyle name="Normal 8 2 2 2 2 5" xfId="2386" xr:uid="{00000000-0005-0000-0000-0000CF1B0000}"/>
    <cellStyle name="Normal 8 2 2 2 2 5 2" xfId="6632" xr:uid="{00000000-0005-0000-0000-0000D01B0000}"/>
    <cellStyle name="Normal 8 2 2 2 2 6" xfId="4510" xr:uid="{00000000-0005-0000-0000-0000D11B0000}"/>
    <cellStyle name="Normal 8 2 2 2 3" xfId="395" xr:uid="{00000000-0005-0000-0000-0000D21B0000}"/>
    <cellStyle name="Normal 8 2 2 2 3 2" xfId="925" xr:uid="{00000000-0005-0000-0000-0000D31B0000}"/>
    <cellStyle name="Normal 8 2 2 2 3 2 2" xfId="1984" xr:uid="{00000000-0005-0000-0000-0000D41B0000}"/>
    <cellStyle name="Normal 8 2 2 2 3 2 2 2" xfId="4106" xr:uid="{00000000-0005-0000-0000-0000D51B0000}"/>
    <cellStyle name="Normal 8 2 2 2 3 2 2 2 2" xfId="8352" xr:uid="{00000000-0005-0000-0000-0000D61B0000}"/>
    <cellStyle name="Normal 8 2 2 2 3 2 2 3" xfId="6230" xr:uid="{00000000-0005-0000-0000-0000D71B0000}"/>
    <cellStyle name="Normal 8 2 2 2 3 2 3" xfId="3047" xr:uid="{00000000-0005-0000-0000-0000D81B0000}"/>
    <cellStyle name="Normal 8 2 2 2 3 2 3 2" xfId="7293" xr:uid="{00000000-0005-0000-0000-0000D91B0000}"/>
    <cellStyle name="Normal 8 2 2 2 3 2 4" xfId="5171" xr:uid="{00000000-0005-0000-0000-0000DA1B0000}"/>
    <cellStyle name="Normal 8 2 2 2 3 3" xfId="1455" xr:uid="{00000000-0005-0000-0000-0000DB1B0000}"/>
    <cellStyle name="Normal 8 2 2 2 3 3 2" xfId="3577" xr:uid="{00000000-0005-0000-0000-0000DC1B0000}"/>
    <cellStyle name="Normal 8 2 2 2 3 3 2 2" xfId="7823" xr:uid="{00000000-0005-0000-0000-0000DD1B0000}"/>
    <cellStyle name="Normal 8 2 2 2 3 3 3" xfId="5701" xr:uid="{00000000-0005-0000-0000-0000DE1B0000}"/>
    <cellStyle name="Normal 8 2 2 2 3 4" xfId="2518" xr:uid="{00000000-0005-0000-0000-0000DF1B0000}"/>
    <cellStyle name="Normal 8 2 2 2 3 4 2" xfId="6764" xr:uid="{00000000-0005-0000-0000-0000E01B0000}"/>
    <cellStyle name="Normal 8 2 2 2 3 5" xfId="4642" xr:uid="{00000000-0005-0000-0000-0000E11B0000}"/>
    <cellStyle name="Normal 8 2 2 2 4" xfId="662" xr:uid="{00000000-0005-0000-0000-0000E21B0000}"/>
    <cellStyle name="Normal 8 2 2 2 4 2" xfId="1721" xr:uid="{00000000-0005-0000-0000-0000E31B0000}"/>
    <cellStyle name="Normal 8 2 2 2 4 2 2" xfId="3843" xr:uid="{00000000-0005-0000-0000-0000E41B0000}"/>
    <cellStyle name="Normal 8 2 2 2 4 2 2 2" xfId="8089" xr:uid="{00000000-0005-0000-0000-0000E51B0000}"/>
    <cellStyle name="Normal 8 2 2 2 4 2 3" xfId="5967" xr:uid="{00000000-0005-0000-0000-0000E61B0000}"/>
    <cellStyle name="Normal 8 2 2 2 4 3" xfId="2784" xr:uid="{00000000-0005-0000-0000-0000E71B0000}"/>
    <cellStyle name="Normal 8 2 2 2 4 3 2" xfId="7030" xr:uid="{00000000-0005-0000-0000-0000E81B0000}"/>
    <cellStyle name="Normal 8 2 2 2 4 4" xfId="4908" xr:uid="{00000000-0005-0000-0000-0000E91B0000}"/>
    <cellStyle name="Normal 8 2 2 2 5" xfId="1192" xr:uid="{00000000-0005-0000-0000-0000EA1B0000}"/>
    <cellStyle name="Normal 8 2 2 2 5 2" xfId="3314" xr:uid="{00000000-0005-0000-0000-0000EB1B0000}"/>
    <cellStyle name="Normal 8 2 2 2 5 2 2" xfId="7560" xr:uid="{00000000-0005-0000-0000-0000EC1B0000}"/>
    <cellStyle name="Normal 8 2 2 2 5 3" xfId="5438" xr:uid="{00000000-0005-0000-0000-0000ED1B0000}"/>
    <cellStyle name="Normal 8 2 2 2 6" xfId="2255" xr:uid="{00000000-0005-0000-0000-0000EE1B0000}"/>
    <cellStyle name="Normal 8 2 2 2 6 2" xfId="6501" xr:uid="{00000000-0005-0000-0000-0000EF1B0000}"/>
    <cellStyle name="Normal 8 2 2 2 7" xfId="4379" xr:uid="{00000000-0005-0000-0000-0000F01B0000}"/>
    <cellStyle name="Normal 8 2 2 3" xfId="89" xr:uid="{00000000-0005-0000-0000-0000F11B0000}"/>
    <cellStyle name="Normal 8 2 2 3 2" xfId="221" xr:uid="{00000000-0005-0000-0000-0000F21B0000}"/>
    <cellStyle name="Normal 8 2 2 3 2 2" xfId="484" xr:uid="{00000000-0005-0000-0000-0000F31B0000}"/>
    <cellStyle name="Normal 8 2 2 3 2 2 2" xfId="1014" xr:uid="{00000000-0005-0000-0000-0000F41B0000}"/>
    <cellStyle name="Normal 8 2 2 3 2 2 2 2" xfId="2073" xr:uid="{00000000-0005-0000-0000-0000F51B0000}"/>
    <cellStyle name="Normal 8 2 2 3 2 2 2 2 2" xfId="4195" xr:uid="{00000000-0005-0000-0000-0000F61B0000}"/>
    <cellStyle name="Normal 8 2 2 3 2 2 2 2 2 2" xfId="8441" xr:uid="{00000000-0005-0000-0000-0000F71B0000}"/>
    <cellStyle name="Normal 8 2 2 3 2 2 2 2 3" xfId="6319" xr:uid="{00000000-0005-0000-0000-0000F81B0000}"/>
    <cellStyle name="Normal 8 2 2 3 2 2 2 3" xfId="3136" xr:uid="{00000000-0005-0000-0000-0000F91B0000}"/>
    <cellStyle name="Normal 8 2 2 3 2 2 2 3 2" xfId="7382" xr:uid="{00000000-0005-0000-0000-0000FA1B0000}"/>
    <cellStyle name="Normal 8 2 2 3 2 2 2 4" xfId="5260" xr:uid="{00000000-0005-0000-0000-0000FB1B0000}"/>
    <cellStyle name="Normal 8 2 2 3 2 2 3" xfId="1544" xr:uid="{00000000-0005-0000-0000-0000FC1B0000}"/>
    <cellStyle name="Normal 8 2 2 3 2 2 3 2" xfId="3666" xr:uid="{00000000-0005-0000-0000-0000FD1B0000}"/>
    <cellStyle name="Normal 8 2 2 3 2 2 3 2 2" xfId="7912" xr:uid="{00000000-0005-0000-0000-0000FE1B0000}"/>
    <cellStyle name="Normal 8 2 2 3 2 2 3 3" xfId="5790" xr:uid="{00000000-0005-0000-0000-0000FF1B0000}"/>
    <cellStyle name="Normal 8 2 2 3 2 2 4" xfId="2607" xr:uid="{00000000-0005-0000-0000-0000001C0000}"/>
    <cellStyle name="Normal 8 2 2 3 2 2 4 2" xfId="6853" xr:uid="{00000000-0005-0000-0000-0000011C0000}"/>
    <cellStyle name="Normal 8 2 2 3 2 2 5" xfId="4731" xr:uid="{00000000-0005-0000-0000-0000021C0000}"/>
    <cellStyle name="Normal 8 2 2 3 2 3" xfId="751" xr:uid="{00000000-0005-0000-0000-0000031C0000}"/>
    <cellStyle name="Normal 8 2 2 3 2 3 2" xfId="1810" xr:uid="{00000000-0005-0000-0000-0000041C0000}"/>
    <cellStyle name="Normal 8 2 2 3 2 3 2 2" xfId="3932" xr:uid="{00000000-0005-0000-0000-0000051C0000}"/>
    <cellStyle name="Normal 8 2 2 3 2 3 2 2 2" xfId="8178" xr:uid="{00000000-0005-0000-0000-0000061C0000}"/>
    <cellStyle name="Normal 8 2 2 3 2 3 2 3" xfId="6056" xr:uid="{00000000-0005-0000-0000-0000071C0000}"/>
    <cellStyle name="Normal 8 2 2 3 2 3 3" xfId="2873" xr:uid="{00000000-0005-0000-0000-0000081C0000}"/>
    <cellStyle name="Normal 8 2 2 3 2 3 3 2" xfId="7119" xr:uid="{00000000-0005-0000-0000-0000091C0000}"/>
    <cellStyle name="Normal 8 2 2 3 2 3 4" xfId="4997" xr:uid="{00000000-0005-0000-0000-00000A1C0000}"/>
    <cellStyle name="Normal 8 2 2 3 2 4" xfId="1281" xr:uid="{00000000-0005-0000-0000-00000B1C0000}"/>
    <cellStyle name="Normal 8 2 2 3 2 4 2" xfId="3403" xr:uid="{00000000-0005-0000-0000-00000C1C0000}"/>
    <cellStyle name="Normal 8 2 2 3 2 4 2 2" xfId="7649" xr:uid="{00000000-0005-0000-0000-00000D1C0000}"/>
    <cellStyle name="Normal 8 2 2 3 2 4 3" xfId="5527" xr:uid="{00000000-0005-0000-0000-00000E1C0000}"/>
    <cellStyle name="Normal 8 2 2 3 2 5" xfId="2344" xr:uid="{00000000-0005-0000-0000-00000F1C0000}"/>
    <cellStyle name="Normal 8 2 2 3 2 5 2" xfId="6590" xr:uid="{00000000-0005-0000-0000-0000101C0000}"/>
    <cellStyle name="Normal 8 2 2 3 2 6" xfId="4468" xr:uid="{00000000-0005-0000-0000-0000111C0000}"/>
    <cellStyle name="Normal 8 2 2 3 3" xfId="353" xr:uid="{00000000-0005-0000-0000-0000121C0000}"/>
    <cellStyle name="Normal 8 2 2 3 3 2" xfId="883" xr:uid="{00000000-0005-0000-0000-0000131C0000}"/>
    <cellStyle name="Normal 8 2 2 3 3 2 2" xfId="1942" xr:uid="{00000000-0005-0000-0000-0000141C0000}"/>
    <cellStyle name="Normal 8 2 2 3 3 2 2 2" xfId="4064" xr:uid="{00000000-0005-0000-0000-0000151C0000}"/>
    <cellStyle name="Normal 8 2 2 3 3 2 2 2 2" xfId="8310" xr:uid="{00000000-0005-0000-0000-0000161C0000}"/>
    <cellStyle name="Normal 8 2 2 3 3 2 2 3" xfId="6188" xr:uid="{00000000-0005-0000-0000-0000171C0000}"/>
    <cellStyle name="Normal 8 2 2 3 3 2 3" xfId="3005" xr:uid="{00000000-0005-0000-0000-0000181C0000}"/>
    <cellStyle name="Normal 8 2 2 3 3 2 3 2" xfId="7251" xr:uid="{00000000-0005-0000-0000-0000191C0000}"/>
    <cellStyle name="Normal 8 2 2 3 3 2 4" xfId="5129" xr:uid="{00000000-0005-0000-0000-00001A1C0000}"/>
    <cellStyle name="Normal 8 2 2 3 3 3" xfId="1413" xr:uid="{00000000-0005-0000-0000-00001B1C0000}"/>
    <cellStyle name="Normal 8 2 2 3 3 3 2" xfId="3535" xr:uid="{00000000-0005-0000-0000-00001C1C0000}"/>
    <cellStyle name="Normal 8 2 2 3 3 3 2 2" xfId="7781" xr:uid="{00000000-0005-0000-0000-00001D1C0000}"/>
    <cellStyle name="Normal 8 2 2 3 3 3 3" xfId="5659" xr:uid="{00000000-0005-0000-0000-00001E1C0000}"/>
    <cellStyle name="Normal 8 2 2 3 3 4" xfId="2476" xr:uid="{00000000-0005-0000-0000-00001F1C0000}"/>
    <cellStyle name="Normal 8 2 2 3 3 4 2" xfId="6722" xr:uid="{00000000-0005-0000-0000-0000201C0000}"/>
    <cellStyle name="Normal 8 2 2 3 3 5" xfId="4600" xr:uid="{00000000-0005-0000-0000-0000211C0000}"/>
    <cellStyle name="Normal 8 2 2 3 4" xfId="620" xr:uid="{00000000-0005-0000-0000-0000221C0000}"/>
    <cellStyle name="Normal 8 2 2 3 4 2" xfId="1679" xr:uid="{00000000-0005-0000-0000-0000231C0000}"/>
    <cellStyle name="Normal 8 2 2 3 4 2 2" xfId="3801" xr:uid="{00000000-0005-0000-0000-0000241C0000}"/>
    <cellStyle name="Normal 8 2 2 3 4 2 2 2" xfId="8047" xr:uid="{00000000-0005-0000-0000-0000251C0000}"/>
    <cellStyle name="Normal 8 2 2 3 4 2 3" xfId="5925" xr:uid="{00000000-0005-0000-0000-0000261C0000}"/>
    <cellStyle name="Normal 8 2 2 3 4 3" xfId="2742" xr:uid="{00000000-0005-0000-0000-0000271C0000}"/>
    <cellStyle name="Normal 8 2 2 3 4 3 2" xfId="6988" xr:uid="{00000000-0005-0000-0000-0000281C0000}"/>
    <cellStyle name="Normal 8 2 2 3 4 4" xfId="4866" xr:uid="{00000000-0005-0000-0000-0000291C0000}"/>
    <cellStyle name="Normal 8 2 2 3 5" xfId="1150" xr:uid="{00000000-0005-0000-0000-00002A1C0000}"/>
    <cellStyle name="Normal 8 2 2 3 5 2" xfId="3272" xr:uid="{00000000-0005-0000-0000-00002B1C0000}"/>
    <cellStyle name="Normal 8 2 2 3 5 2 2" xfId="7518" xr:uid="{00000000-0005-0000-0000-00002C1C0000}"/>
    <cellStyle name="Normal 8 2 2 3 5 3" xfId="5396" xr:uid="{00000000-0005-0000-0000-00002D1C0000}"/>
    <cellStyle name="Normal 8 2 2 3 6" xfId="2213" xr:uid="{00000000-0005-0000-0000-00002E1C0000}"/>
    <cellStyle name="Normal 8 2 2 3 6 2" xfId="6459" xr:uid="{00000000-0005-0000-0000-00002F1C0000}"/>
    <cellStyle name="Normal 8 2 2 3 7" xfId="4337" xr:uid="{00000000-0005-0000-0000-0000301C0000}"/>
    <cellStyle name="Normal 8 2 2 4" xfId="178" xr:uid="{00000000-0005-0000-0000-0000311C0000}"/>
    <cellStyle name="Normal 8 2 2 4 2" xfId="441" xr:uid="{00000000-0005-0000-0000-0000321C0000}"/>
    <cellStyle name="Normal 8 2 2 4 2 2" xfId="971" xr:uid="{00000000-0005-0000-0000-0000331C0000}"/>
    <cellStyle name="Normal 8 2 2 4 2 2 2" xfId="2030" xr:uid="{00000000-0005-0000-0000-0000341C0000}"/>
    <cellStyle name="Normal 8 2 2 4 2 2 2 2" xfId="4152" xr:uid="{00000000-0005-0000-0000-0000351C0000}"/>
    <cellStyle name="Normal 8 2 2 4 2 2 2 2 2" xfId="8398" xr:uid="{00000000-0005-0000-0000-0000361C0000}"/>
    <cellStyle name="Normal 8 2 2 4 2 2 2 3" xfId="6276" xr:uid="{00000000-0005-0000-0000-0000371C0000}"/>
    <cellStyle name="Normal 8 2 2 4 2 2 3" xfId="3093" xr:uid="{00000000-0005-0000-0000-0000381C0000}"/>
    <cellStyle name="Normal 8 2 2 4 2 2 3 2" xfId="7339" xr:uid="{00000000-0005-0000-0000-0000391C0000}"/>
    <cellStyle name="Normal 8 2 2 4 2 2 4" xfId="5217" xr:uid="{00000000-0005-0000-0000-00003A1C0000}"/>
    <cellStyle name="Normal 8 2 2 4 2 3" xfId="1501" xr:uid="{00000000-0005-0000-0000-00003B1C0000}"/>
    <cellStyle name="Normal 8 2 2 4 2 3 2" xfId="3623" xr:uid="{00000000-0005-0000-0000-00003C1C0000}"/>
    <cellStyle name="Normal 8 2 2 4 2 3 2 2" xfId="7869" xr:uid="{00000000-0005-0000-0000-00003D1C0000}"/>
    <cellStyle name="Normal 8 2 2 4 2 3 3" xfId="5747" xr:uid="{00000000-0005-0000-0000-00003E1C0000}"/>
    <cellStyle name="Normal 8 2 2 4 2 4" xfId="2564" xr:uid="{00000000-0005-0000-0000-00003F1C0000}"/>
    <cellStyle name="Normal 8 2 2 4 2 4 2" xfId="6810" xr:uid="{00000000-0005-0000-0000-0000401C0000}"/>
    <cellStyle name="Normal 8 2 2 4 2 5" xfId="4688" xr:uid="{00000000-0005-0000-0000-0000411C0000}"/>
    <cellStyle name="Normal 8 2 2 4 3" xfId="708" xr:uid="{00000000-0005-0000-0000-0000421C0000}"/>
    <cellStyle name="Normal 8 2 2 4 3 2" xfId="1767" xr:uid="{00000000-0005-0000-0000-0000431C0000}"/>
    <cellStyle name="Normal 8 2 2 4 3 2 2" xfId="3889" xr:uid="{00000000-0005-0000-0000-0000441C0000}"/>
    <cellStyle name="Normal 8 2 2 4 3 2 2 2" xfId="8135" xr:uid="{00000000-0005-0000-0000-0000451C0000}"/>
    <cellStyle name="Normal 8 2 2 4 3 2 3" xfId="6013" xr:uid="{00000000-0005-0000-0000-0000461C0000}"/>
    <cellStyle name="Normal 8 2 2 4 3 3" xfId="2830" xr:uid="{00000000-0005-0000-0000-0000471C0000}"/>
    <cellStyle name="Normal 8 2 2 4 3 3 2" xfId="7076" xr:uid="{00000000-0005-0000-0000-0000481C0000}"/>
    <cellStyle name="Normal 8 2 2 4 3 4" xfId="4954" xr:uid="{00000000-0005-0000-0000-0000491C0000}"/>
    <cellStyle name="Normal 8 2 2 4 4" xfId="1238" xr:uid="{00000000-0005-0000-0000-00004A1C0000}"/>
    <cellStyle name="Normal 8 2 2 4 4 2" xfId="3360" xr:uid="{00000000-0005-0000-0000-00004B1C0000}"/>
    <cellStyle name="Normal 8 2 2 4 4 2 2" xfId="7606" xr:uid="{00000000-0005-0000-0000-00004C1C0000}"/>
    <cellStyle name="Normal 8 2 2 4 4 3" xfId="5484" xr:uid="{00000000-0005-0000-0000-00004D1C0000}"/>
    <cellStyle name="Normal 8 2 2 4 5" xfId="2301" xr:uid="{00000000-0005-0000-0000-00004E1C0000}"/>
    <cellStyle name="Normal 8 2 2 4 5 2" xfId="6547" xr:uid="{00000000-0005-0000-0000-00004F1C0000}"/>
    <cellStyle name="Normal 8 2 2 4 6" xfId="4425" xr:uid="{00000000-0005-0000-0000-0000501C0000}"/>
    <cellStyle name="Normal 8 2 2 5" xfId="310" xr:uid="{00000000-0005-0000-0000-0000511C0000}"/>
    <cellStyle name="Normal 8 2 2 5 2" xfId="840" xr:uid="{00000000-0005-0000-0000-0000521C0000}"/>
    <cellStyle name="Normal 8 2 2 5 2 2" xfId="1899" xr:uid="{00000000-0005-0000-0000-0000531C0000}"/>
    <cellStyle name="Normal 8 2 2 5 2 2 2" xfId="4021" xr:uid="{00000000-0005-0000-0000-0000541C0000}"/>
    <cellStyle name="Normal 8 2 2 5 2 2 2 2" xfId="8267" xr:uid="{00000000-0005-0000-0000-0000551C0000}"/>
    <cellStyle name="Normal 8 2 2 5 2 2 3" xfId="6145" xr:uid="{00000000-0005-0000-0000-0000561C0000}"/>
    <cellStyle name="Normal 8 2 2 5 2 3" xfId="2962" xr:uid="{00000000-0005-0000-0000-0000571C0000}"/>
    <cellStyle name="Normal 8 2 2 5 2 3 2" xfId="7208" xr:uid="{00000000-0005-0000-0000-0000581C0000}"/>
    <cellStyle name="Normal 8 2 2 5 2 4" xfId="5086" xr:uid="{00000000-0005-0000-0000-0000591C0000}"/>
    <cellStyle name="Normal 8 2 2 5 3" xfId="1370" xr:uid="{00000000-0005-0000-0000-00005A1C0000}"/>
    <cellStyle name="Normal 8 2 2 5 3 2" xfId="3492" xr:uid="{00000000-0005-0000-0000-00005B1C0000}"/>
    <cellStyle name="Normal 8 2 2 5 3 2 2" xfId="7738" xr:uid="{00000000-0005-0000-0000-00005C1C0000}"/>
    <cellStyle name="Normal 8 2 2 5 3 3" xfId="5616" xr:uid="{00000000-0005-0000-0000-00005D1C0000}"/>
    <cellStyle name="Normal 8 2 2 5 4" xfId="2433" xr:uid="{00000000-0005-0000-0000-00005E1C0000}"/>
    <cellStyle name="Normal 8 2 2 5 4 2" xfId="6679" xr:uid="{00000000-0005-0000-0000-00005F1C0000}"/>
    <cellStyle name="Normal 8 2 2 5 5" xfId="4557" xr:uid="{00000000-0005-0000-0000-0000601C0000}"/>
    <cellStyle name="Normal 8 2 2 6" xfId="577" xr:uid="{00000000-0005-0000-0000-0000611C0000}"/>
    <cellStyle name="Normal 8 2 2 6 2" xfId="1636" xr:uid="{00000000-0005-0000-0000-0000621C0000}"/>
    <cellStyle name="Normal 8 2 2 6 2 2" xfId="3758" xr:uid="{00000000-0005-0000-0000-0000631C0000}"/>
    <cellStyle name="Normal 8 2 2 6 2 2 2" xfId="8004" xr:uid="{00000000-0005-0000-0000-0000641C0000}"/>
    <cellStyle name="Normal 8 2 2 6 2 3" xfId="5882" xr:uid="{00000000-0005-0000-0000-0000651C0000}"/>
    <cellStyle name="Normal 8 2 2 6 3" xfId="2699" xr:uid="{00000000-0005-0000-0000-0000661C0000}"/>
    <cellStyle name="Normal 8 2 2 6 3 2" xfId="6945" xr:uid="{00000000-0005-0000-0000-0000671C0000}"/>
    <cellStyle name="Normal 8 2 2 6 4" xfId="4823" xr:uid="{00000000-0005-0000-0000-0000681C0000}"/>
    <cellStyle name="Normal 8 2 2 7" xfId="1107" xr:uid="{00000000-0005-0000-0000-0000691C0000}"/>
    <cellStyle name="Normal 8 2 2 7 2" xfId="3229" xr:uid="{00000000-0005-0000-0000-00006A1C0000}"/>
    <cellStyle name="Normal 8 2 2 7 2 2" xfId="7475" xr:uid="{00000000-0005-0000-0000-00006B1C0000}"/>
    <cellStyle name="Normal 8 2 2 7 3" xfId="5353" xr:uid="{00000000-0005-0000-0000-00006C1C0000}"/>
    <cellStyle name="Normal 8 2 2 8" xfId="2170" xr:uid="{00000000-0005-0000-0000-00006D1C0000}"/>
    <cellStyle name="Normal 8 2 2 8 2" xfId="6416" xr:uid="{00000000-0005-0000-0000-00006E1C0000}"/>
    <cellStyle name="Normal 8 2 2 9" xfId="4294" xr:uid="{00000000-0005-0000-0000-00006F1C0000}"/>
    <cellStyle name="Normal 8 2 3" xfId="111" xr:uid="{00000000-0005-0000-0000-0000701C0000}"/>
    <cellStyle name="Normal 8 2 3 2" xfId="242" xr:uid="{00000000-0005-0000-0000-0000711C0000}"/>
    <cellStyle name="Normal 8 2 3 2 2" xfId="505" xr:uid="{00000000-0005-0000-0000-0000721C0000}"/>
    <cellStyle name="Normal 8 2 3 2 2 2" xfId="1035" xr:uid="{00000000-0005-0000-0000-0000731C0000}"/>
    <cellStyle name="Normal 8 2 3 2 2 2 2" xfId="2094" xr:uid="{00000000-0005-0000-0000-0000741C0000}"/>
    <cellStyle name="Normal 8 2 3 2 2 2 2 2" xfId="4216" xr:uid="{00000000-0005-0000-0000-0000751C0000}"/>
    <cellStyle name="Normal 8 2 3 2 2 2 2 2 2" xfId="8462" xr:uid="{00000000-0005-0000-0000-0000761C0000}"/>
    <cellStyle name="Normal 8 2 3 2 2 2 2 3" xfId="6340" xr:uid="{00000000-0005-0000-0000-0000771C0000}"/>
    <cellStyle name="Normal 8 2 3 2 2 2 3" xfId="3157" xr:uid="{00000000-0005-0000-0000-0000781C0000}"/>
    <cellStyle name="Normal 8 2 3 2 2 2 3 2" xfId="7403" xr:uid="{00000000-0005-0000-0000-0000791C0000}"/>
    <cellStyle name="Normal 8 2 3 2 2 2 4" xfId="5281" xr:uid="{00000000-0005-0000-0000-00007A1C0000}"/>
    <cellStyle name="Normal 8 2 3 2 2 3" xfId="1565" xr:uid="{00000000-0005-0000-0000-00007B1C0000}"/>
    <cellStyle name="Normal 8 2 3 2 2 3 2" xfId="3687" xr:uid="{00000000-0005-0000-0000-00007C1C0000}"/>
    <cellStyle name="Normal 8 2 3 2 2 3 2 2" xfId="7933" xr:uid="{00000000-0005-0000-0000-00007D1C0000}"/>
    <cellStyle name="Normal 8 2 3 2 2 3 3" xfId="5811" xr:uid="{00000000-0005-0000-0000-00007E1C0000}"/>
    <cellStyle name="Normal 8 2 3 2 2 4" xfId="2628" xr:uid="{00000000-0005-0000-0000-00007F1C0000}"/>
    <cellStyle name="Normal 8 2 3 2 2 4 2" xfId="6874" xr:uid="{00000000-0005-0000-0000-0000801C0000}"/>
    <cellStyle name="Normal 8 2 3 2 2 5" xfId="4752" xr:uid="{00000000-0005-0000-0000-0000811C0000}"/>
    <cellStyle name="Normal 8 2 3 2 3" xfId="772" xr:uid="{00000000-0005-0000-0000-0000821C0000}"/>
    <cellStyle name="Normal 8 2 3 2 3 2" xfId="1831" xr:uid="{00000000-0005-0000-0000-0000831C0000}"/>
    <cellStyle name="Normal 8 2 3 2 3 2 2" xfId="3953" xr:uid="{00000000-0005-0000-0000-0000841C0000}"/>
    <cellStyle name="Normal 8 2 3 2 3 2 2 2" xfId="8199" xr:uid="{00000000-0005-0000-0000-0000851C0000}"/>
    <cellStyle name="Normal 8 2 3 2 3 2 3" xfId="6077" xr:uid="{00000000-0005-0000-0000-0000861C0000}"/>
    <cellStyle name="Normal 8 2 3 2 3 3" xfId="2894" xr:uid="{00000000-0005-0000-0000-0000871C0000}"/>
    <cellStyle name="Normal 8 2 3 2 3 3 2" xfId="7140" xr:uid="{00000000-0005-0000-0000-0000881C0000}"/>
    <cellStyle name="Normal 8 2 3 2 3 4" xfId="5018" xr:uid="{00000000-0005-0000-0000-0000891C0000}"/>
    <cellStyle name="Normal 8 2 3 2 4" xfId="1302" xr:uid="{00000000-0005-0000-0000-00008A1C0000}"/>
    <cellStyle name="Normal 8 2 3 2 4 2" xfId="3424" xr:uid="{00000000-0005-0000-0000-00008B1C0000}"/>
    <cellStyle name="Normal 8 2 3 2 4 2 2" xfId="7670" xr:uid="{00000000-0005-0000-0000-00008C1C0000}"/>
    <cellStyle name="Normal 8 2 3 2 4 3" xfId="5548" xr:uid="{00000000-0005-0000-0000-00008D1C0000}"/>
    <cellStyle name="Normal 8 2 3 2 5" xfId="2365" xr:uid="{00000000-0005-0000-0000-00008E1C0000}"/>
    <cellStyle name="Normal 8 2 3 2 5 2" xfId="6611" xr:uid="{00000000-0005-0000-0000-00008F1C0000}"/>
    <cellStyle name="Normal 8 2 3 2 6" xfId="4489" xr:uid="{00000000-0005-0000-0000-0000901C0000}"/>
    <cellStyle name="Normal 8 2 3 3" xfId="374" xr:uid="{00000000-0005-0000-0000-0000911C0000}"/>
    <cellStyle name="Normal 8 2 3 3 2" xfId="904" xr:uid="{00000000-0005-0000-0000-0000921C0000}"/>
    <cellStyle name="Normal 8 2 3 3 2 2" xfId="1963" xr:uid="{00000000-0005-0000-0000-0000931C0000}"/>
    <cellStyle name="Normal 8 2 3 3 2 2 2" xfId="4085" xr:uid="{00000000-0005-0000-0000-0000941C0000}"/>
    <cellStyle name="Normal 8 2 3 3 2 2 2 2" xfId="8331" xr:uid="{00000000-0005-0000-0000-0000951C0000}"/>
    <cellStyle name="Normal 8 2 3 3 2 2 3" xfId="6209" xr:uid="{00000000-0005-0000-0000-0000961C0000}"/>
    <cellStyle name="Normal 8 2 3 3 2 3" xfId="3026" xr:uid="{00000000-0005-0000-0000-0000971C0000}"/>
    <cellStyle name="Normal 8 2 3 3 2 3 2" xfId="7272" xr:uid="{00000000-0005-0000-0000-0000981C0000}"/>
    <cellStyle name="Normal 8 2 3 3 2 4" xfId="5150" xr:uid="{00000000-0005-0000-0000-0000991C0000}"/>
    <cellStyle name="Normal 8 2 3 3 3" xfId="1434" xr:uid="{00000000-0005-0000-0000-00009A1C0000}"/>
    <cellStyle name="Normal 8 2 3 3 3 2" xfId="3556" xr:uid="{00000000-0005-0000-0000-00009B1C0000}"/>
    <cellStyle name="Normal 8 2 3 3 3 2 2" xfId="7802" xr:uid="{00000000-0005-0000-0000-00009C1C0000}"/>
    <cellStyle name="Normal 8 2 3 3 3 3" xfId="5680" xr:uid="{00000000-0005-0000-0000-00009D1C0000}"/>
    <cellStyle name="Normal 8 2 3 3 4" xfId="2497" xr:uid="{00000000-0005-0000-0000-00009E1C0000}"/>
    <cellStyle name="Normal 8 2 3 3 4 2" xfId="6743" xr:uid="{00000000-0005-0000-0000-00009F1C0000}"/>
    <cellStyle name="Normal 8 2 3 3 5" xfId="4621" xr:uid="{00000000-0005-0000-0000-0000A01C0000}"/>
    <cellStyle name="Normal 8 2 3 4" xfId="641" xr:uid="{00000000-0005-0000-0000-0000A11C0000}"/>
    <cellStyle name="Normal 8 2 3 4 2" xfId="1700" xr:uid="{00000000-0005-0000-0000-0000A21C0000}"/>
    <cellStyle name="Normal 8 2 3 4 2 2" xfId="3822" xr:uid="{00000000-0005-0000-0000-0000A31C0000}"/>
    <cellStyle name="Normal 8 2 3 4 2 2 2" xfId="8068" xr:uid="{00000000-0005-0000-0000-0000A41C0000}"/>
    <cellStyle name="Normal 8 2 3 4 2 3" xfId="5946" xr:uid="{00000000-0005-0000-0000-0000A51C0000}"/>
    <cellStyle name="Normal 8 2 3 4 3" xfId="2763" xr:uid="{00000000-0005-0000-0000-0000A61C0000}"/>
    <cellStyle name="Normal 8 2 3 4 3 2" xfId="7009" xr:uid="{00000000-0005-0000-0000-0000A71C0000}"/>
    <cellStyle name="Normal 8 2 3 4 4" xfId="4887" xr:uid="{00000000-0005-0000-0000-0000A81C0000}"/>
    <cellStyle name="Normal 8 2 3 5" xfId="1171" xr:uid="{00000000-0005-0000-0000-0000A91C0000}"/>
    <cellStyle name="Normal 8 2 3 5 2" xfId="3293" xr:uid="{00000000-0005-0000-0000-0000AA1C0000}"/>
    <cellStyle name="Normal 8 2 3 5 2 2" xfId="7539" xr:uid="{00000000-0005-0000-0000-0000AB1C0000}"/>
    <cellStyle name="Normal 8 2 3 5 3" xfId="5417" xr:uid="{00000000-0005-0000-0000-0000AC1C0000}"/>
    <cellStyle name="Normal 8 2 3 6" xfId="2234" xr:uid="{00000000-0005-0000-0000-0000AD1C0000}"/>
    <cellStyle name="Normal 8 2 3 6 2" xfId="6480" xr:uid="{00000000-0005-0000-0000-0000AE1C0000}"/>
    <cellStyle name="Normal 8 2 3 7" xfId="4358" xr:uid="{00000000-0005-0000-0000-0000AF1C0000}"/>
    <cellStyle name="Normal 8 2 4" xfId="68" xr:uid="{00000000-0005-0000-0000-0000B01C0000}"/>
    <cellStyle name="Normal 8 2 4 2" xfId="200" xr:uid="{00000000-0005-0000-0000-0000B11C0000}"/>
    <cellStyle name="Normal 8 2 4 2 2" xfId="463" xr:uid="{00000000-0005-0000-0000-0000B21C0000}"/>
    <cellStyle name="Normal 8 2 4 2 2 2" xfId="993" xr:uid="{00000000-0005-0000-0000-0000B31C0000}"/>
    <cellStyle name="Normal 8 2 4 2 2 2 2" xfId="2052" xr:uid="{00000000-0005-0000-0000-0000B41C0000}"/>
    <cellStyle name="Normal 8 2 4 2 2 2 2 2" xfId="4174" xr:uid="{00000000-0005-0000-0000-0000B51C0000}"/>
    <cellStyle name="Normal 8 2 4 2 2 2 2 2 2" xfId="8420" xr:uid="{00000000-0005-0000-0000-0000B61C0000}"/>
    <cellStyle name="Normal 8 2 4 2 2 2 2 3" xfId="6298" xr:uid="{00000000-0005-0000-0000-0000B71C0000}"/>
    <cellStyle name="Normal 8 2 4 2 2 2 3" xfId="3115" xr:uid="{00000000-0005-0000-0000-0000B81C0000}"/>
    <cellStyle name="Normal 8 2 4 2 2 2 3 2" xfId="7361" xr:uid="{00000000-0005-0000-0000-0000B91C0000}"/>
    <cellStyle name="Normal 8 2 4 2 2 2 4" xfId="5239" xr:uid="{00000000-0005-0000-0000-0000BA1C0000}"/>
    <cellStyle name="Normal 8 2 4 2 2 3" xfId="1523" xr:uid="{00000000-0005-0000-0000-0000BB1C0000}"/>
    <cellStyle name="Normal 8 2 4 2 2 3 2" xfId="3645" xr:uid="{00000000-0005-0000-0000-0000BC1C0000}"/>
    <cellStyle name="Normal 8 2 4 2 2 3 2 2" xfId="7891" xr:uid="{00000000-0005-0000-0000-0000BD1C0000}"/>
    <cellStyle name="Normal 8 2 4 2 2 3 3" xfId="5769" xr:uid="{00000000-0005-0000-0000-0000BE1C0000}"/>
    <cellStyle name="Normal 8 2 4 2 2 4" xfId="2586" xr:uid="{00000000-0005-0000-0000-0000BF1C0000}"/>
    <cellStyle name="Normal 8 2 4 2 2 4 2" xfId="6832" xr:uid="{00000000-0005-0000-0000-0000C01C0000}"/>
    <cellStyle name="Normal 8 2 4 2 2 5" xfId="4710" xr:uid="{00000000-0005-0000-0000-0000C11C0000}"/>
    <cellStyle name="Normal 8 2 4 2 3" xfId="730" xr:uid="{00000000-0005-0000-0000-0000C21C0000}"/>
    <cellStyle name="Normal 8 2 4 2 3 2" xfId="1789" xr:uid="{00000000-0005-0000-0000-0000C31C0000}"/>
    <cellStyle name="Normal 8 2 4 2 3 2 2" xfId="3911" xr:uid="{00000000-0005-0000-0000-0000C41C0000}"/>
    <cellStyle name="Normal 8 2 4 2 3 2 2 2" xfId="8157" xr:uid="{00000000-0005-0000-0000-0000C51C0000}"/>
    <cellStyle name="Normal 8 2 4 2 3 2 3" xfId="6035" xr:uid="{00000000-0005-0000-0000-0000C61C0000}"/>
    <cellStyle name="Normal 8 2 4 2 3 3" xfId="2852" xr:uid="{00000000-0005-0000-0000-0000C71C0000}"/>
    <cellStyle name="Normal 8 2 4 2 3 3 2" xfId="7098" xr:uid="{00000000-0005-0000-0000-0000C81C0000}"/>
    <cellStyle name="Normal 8 2 4 2 3 4" xfId="4976" xr:uid="{00000000-0005-0000-0000-0000C91C0000}"/>
    <cellStyle name="Normal 8 2 4 2 4" xfId="1260" xr:uid="{00000000-0005-0000-0000-0000CA1C0000}"/>
    <cellStyle name="Normal 8 2 4 2 4 2" xfId="3382" xr:uid="{00000000-0005-0000-0000-0000CB1C0000}"/>
    <cellStyle name="Normal 8 2 4 2 4 2 2" xfId="7628" xr:uid="{00000000-0005-0000-0000-0000CC1C0000}"/>
    <cellStyle name="Normal 8 2 4 2 4 3" xfId="5506" xr:uid="{00000000-0005-0000-0000-0000CD1C0000}"/>
    <cellStyle name="Normal 8 2 4 2 5" xfId="2323" xr:uid="{00000000-0005-0000-0000-0000CE1C0000}"/>
    <cellStyle name="Normal 8 2 4 2 5 2" xfId="6569" xr:uid="{00000000-0005-0000-0000-0000CF1C0000}"/>
    <cellStyle name="Normal 8 2 4 2 6" xfId="4447" xr:uid="{00000000-0005-0000-0000-0000D01C0000}"/>
    <cellStyle name="Normal 8 2 4 3" xfId="332" xr:uid="{00000000-0005-0000-0000-0000D11C0000}"/>
    <cellStyle name="Normal 8 2 4 3 2" xfId="862" xr:uid="{00000000-0005-0000-0000-0000D21C0000}"/>
    <cellStyle name="Normal 8 2 4 3 2 2" xfId="1921" xr:uid="{00000000-0005-0000-0000-0000D31C0000}"/>
    <cellStyle name="Normal 8 2 4 3 2 2 2" xfId="4043" xr:uid="{00000000-0005-0000-0000-0000D41C0000}"/>
    <cellStyle name="Normal 8 2 4 3 2 2 2 2" xfId="8289" xr:uid="{00000000-0005-0000-0000-0000D51C0000}"/>
    <cellStyle name="Normal 8 2 4 3 2 2 3" xfId="6167" xr:uid="{00000000-0005-0000-0000-0000D61C0000}"/>
    <cellStyle name="Normal 8 2 4 3 2 3" xfId="2984" xr:uid="{00000000-0005-0000-0000-0000D71C0000}"/>
    <cellStyle name="Normal 8 2 4 3 2 3 2" xfId="7230" xr:uid="{00000000-0005-0000-0000-0000D81C0000}"/>
    <cellStyle name="Normal 8 2 4 3 2 4" xfId="5108" xr:uid="{00000000-0005-0000-0000-0000D91C0000}"/>
    <cellStyle name="Normal 8 2 4 3 3" xfId="1392" xr:uid="{00000000-0005-0000-0000-0000DA1C0000}"/>
    <cellStyle name="Normal 8 2 4 3 3 2" xfId="3514" xr:uid="{00000000-0005-0000-0000-0000DB1C0000}"/>
    <cellStyle name="Normal 8 2 4 3 3 2 2" xfId="7760" xr:uid="{00000000-0005-0000-0000-0000DC1C0000}"/>
    <cellStyle name="Normal 8 2 4 3 3 3" xfId="5638" xr:uid="{00000000-0005-0000-0000-0000DD1C0000}"/>
    <cellStyle name="Normal 8 2 4 3 4" xfId="2455" xr:uid="{00000000-0005-0000-0000-0000DE1C0000}"/>
    <cellStyle name="Normal 8 2 4 3 4 2" xfId="6701" xr:uid="{00000000-0005-0000-0000-0000DF1C0000}"/>
    <cellStyle name="Normal 8 2 4 3 5" xfId="4579" xr:uid="{00000000-0005-0000-0000-0000E01C0000}"/>
    <cellStyle name="Normal 8 2 4 4" xfId="599" xr:uid="{00000000-0005-0000-0000-0000E11C0000}"/>
    <cellStyle name="Normal 8 2 4 4 2" xfId="1658" xr:uid="{00000000-0005-0000-0000-0000E21C0000}"/>
    <cellStyle name="Normal 8 2 4 4 2 2" xfId="3780" xr:uid="{00000000-0005-0000-0000-0000E31C0000}"/>
    <cellStyle name="Normal 8 2 4 4 2 2 2" xfId="8026" xr:uid="{00000000-0005-0000-0000-0000E41C0000}"/>
    <cellStyle name="Normal 8 2 4 4 2 3" xfId="5904" xr:uid="{00000000-0005-0000-0000-0000E51C0000}"/>
    <cellStyle name="Normal 8 2 4 4 3" xfId="2721" xr:uid="{00000000-0005-0000-0000-0000E61C0000}"/>
    <cellStyle name="Normal 8 2 4 4 3 2" xfId="6967" xr:uid="{00000000-0005-0000-0000-0000E71C0000}"/>
    <cellStyle name="Normal 8 2 4 4 4" xfId="4845" xr:uid="{00000000-0005-0000-0000-0000E81C0000}"/>
    <cellStyle name="Normal 8 2 4 5" xfId="1129" xr:uid="{00000000-0005-0000-0000-0000E91C0000}"/>
    <cellStyle name="Normal 8 2 4 5 2" xfId="3251" xr:uid="{00000000-0005-0000-0000-0000EA1C0000}"/>
    <cellStyle name="Normal 8 2 4 5 2 2" xfId="7497" xr:uid="{00000000-0005-0000-0000-0000EB1C0000}"/>
    <cellStyle name="Normal 8 2 4 5 3" xfId="5375" xr:uid="{00000000-0005-0000-0000-0000EC1C0000}"/>
    <cellStyle name="Normal 8 2 4 6" xfId="2192" xr:uid="{00000000-0005-0000-0000-0000ED1C0000}"/>
    <cellStyle name="Normal 8 2 4 6 2" xfId="6438" xr:uid="{00000000-0005-0000-0000-0000EE1C0000}"/>
    <cellStyle name="Normal 8 2 4 7" xfId="4316" xr:uid="{00000000-0005-0000-0000-0000EF1C0000}"/>
    <cellStyle name="Normal 8 2 5" xfId="157" xr:uid="{00000000-0005-0000-0000-0000F01C0000}"/>
    <cellStyle name="Normal 8 2 5 2" xfId="420" xr:uid="{00000000-0005-0000-0000-0000F11C0000}"/>
    <cellStyle name="Normal 8 2 5 2 2" xfId="950" xr:uid="{00000000-0005-0000-0000-0000F21C0000}"/>
    <cellStyle name="Normal 8 2 5 2 2 2" xfId="2009" xr:uid="{00000000-0005-0000-0000-0000F31C0000}"/>
    <cellStyle name="Normal 8 2 5 2 2 2 2" xfId="4131" xr:uid="{00000000-0005-0000-0000-0000F41C0000}"/>
    <cellStyle name="Normal 8 2 5 2 2 2 2 2" xfId="8377" xr:uid="{00000000-0005-0000-0000-0000F51C0000}"/>
    <cellStyle name="Normal 8 2 5 2 2 2 3" xfId="6255" xr:uid="{00000000-0005-0000-0000-0000F61C0000}"/>
    <cellStyle name="Normal 8 2 5 2 2 3" xfId="3072" xr:uid="{00000000-0005-0000-0000-0000F71C0000}"/>
    <cellStyle name="Normal 8 2 5 2 2 3 2" xfId="7318" xr:uid="{00000000-0005-0000-0000-0000F81C0000}"/>
    <cellStyle name="Normal 8 2 5 2 2 4" xfId="5196" xr:uid="{00000000-0005-0000-0000-0000F91C0000}"/>
    <cellStyle name="Normal 8 2 5 2 3" xfId="1480" xr:uid="{00000000-0005-0000-0000-0000FA1C0000}"/>
    <cellStyle name="Normal 8 2 5 2 3 2" xfId="3602" xr:uid="{00000000-0005-0000-0000-0000FB1C0000}"/>
    <cellStyle name="Normal 8 2 5 2 3 2 2" xfId="7848" xr:uid="{00000000-0005-0000-0000-0000FC1C0000}"/>
    <cellStyle name="Normal 8 2 5 2 3 3" xfId="5726" xr:uid="{00000000-0005-0000-0000-0000FD1C0000}"/>
    <cellStyle name="Normal 8 2 5 2 4" xfId="2543" xr:uid="{00000000-0005-0000-0000-0000FE1C0000}"/>
    <cellStyle name="Normal 8 2 5 2 4 2" xfId="6789" xr:uid="{00000000-0005-0000-0000-0000FF1C0000}"/>
    <cellStyle name="Normal 8 2 5 2 5" xfId="4667" xr:uid="{00000000-0005-0000-0000-0000001D0000}"/>
    <cellStyle name="Normal 8 2 5 3" xfId="687" xr:uid="{00000000-0005-0000-0000-0000011D0000}"/>
    <cellStyle name="Normal 8 2 5 3 2" xfId="1746" xr:uid="{00000000-0005-0000-0000-0000021D0000}"/>
    <cellStyle name="Normal 8 2 5 3 2 2" xfId="3868" xr:uid="{00000000-0005-0000-0000-0000031D0000}"/>
    <cellStyle name="Normal 8 2 5 3 2 2 2" xfId="8114" xr:uid="{00000000-0005-0000-0000-0000041D0000}"/>
    <cellStyle name="Normal 8 2 5 3 2 3" xfId="5992" xr:uid="{00000000-0005-0000-0000-0000051D0000}"/>
    <cellStyle name="Normal 8 2 5 3 3" xfId="2809" xr:uid="{00000000-0005-0000-0000-0000061D0000}"/>
    <cellStyle name="Normal 8 2 5 3 3 2" xfId="7055" xr:uid="{00000000-0005-0000-0000-0000071D0000}"/>
    <cellStyle name="Normal 8 2 5 3 4" xfId="4933" xr:uid="{00000000-0005-0000-0000-0000081D0000}"/>
    <cellStyle name="Normal 8 2 5 4" xfId="1217" xr:uid="{00000000-0005-0000-0000-0000091D0000}"/>
    <cellStyle name="Normal 8 2 5 4 2" xfId="3339" xr:uid="{00000000-0005-0000-0000-00000A1D0000}"/>
    <cellStyle name="Normal 8 2 5 4 2 2" xfId="7585" xr:uid="{00000000-0005-0000-0000-00000B1D0000}"/>
    <cellStyle name="Normal 8 2 5 4 3" xfId="5463" xr:uid="{00000000-0005-0000-0000-00000C1D0000}"/>
    <cellStyle name="Normal 8 2 5 5" xfId="2280" xr:uid="{00000000-0005-0000-0000-00000D1D0000}"/>
    <cellStyle name="Normal 8 2 5 5 2" xfId="6526" xr:uid="{00000000-0005-0000-0000-00000E1D0000}"/>
    <cellStyle name="Normal 8 2 5 6" xfId="4404" xr:uid="{00000000-0005-0000-0000-00000F1D0000}"/>
    <cellStyle name="Normal 8 2 6" xfId="289" xr:uid="{00000000-0005-0000-0000-0000101D0000}"/>
    <cellStyle name="Normal 8 2 6 2" xfId="819" xr:uid="{00000000-0005-0000-0000-0000111D0000}"/>
    <cellStyle name="Normal 8 2 6 2 2" xfId="1878" xr:uid="{00000000-0005-0000-0000-0000121D0000}"/>
    <cellStyle name="Normal 8 2 6 2 2 2" xfId="4000" xr:uid="{00000000-0005-0000-0000-0000131D0000}"/>
    <cellStyle name="Normal 8 2 6 2 2 2 2" xfId="8246" xr:uid="{00000000-0005-0000-0000-0000141D0000}"/>
    <cellStyle name="Normal 8 2 6 2 2 3" xfId="6124" xr:uid="{00000000-0005-0000-0000-0000151D0000}"/>
    <cellStyle name="Normal 8 2 6 2 3" xfId="2941" xr:uid="{00000000-0005-0000-0000-0000161D0000}"/>
    <cellStyle name="Normal 8 2 6 2 3 2" xfId="7187" xr:uid="{00000000-0005-0000-0000-0000171D0000}"/>
    <cellStyle name="Normal 8 2 6 2 4" xfId="5065" xr:uid="{00000000-0005-0000-0000-0000181D0000}"/>
    <cellStyle name="Normal 8 2 6 3" xfId="1349" xr:uid="{00000000-0005-0000-0000-0000191D0000}"/>
    <cellStyle name="Normal 8 2 6 3 2" xfId="3471" xr:uid="{00000000-0005-0000-0000-00001A1D0000}"/>
    <cellStyle name="Normal 8 2 6 3 2 2" xfId="7717" xr:uid="{00000000-0005-0000-0000-00001B1D0000}"/>
    <cellStyle name="Normal 8 2 6 3 3" xfId="5595" xr:uid="{00000000-0005-0000-0000-00001C1D0000}"/>
    <cellStyle name="Normal 8 2 6 4" xfId="2412" xr:uid="{00000000-0005-0000-0000-00001D1D0000}"/>
    <cellStyle name="Normal 8 2 6 4 2" xfId="6658" xr:uid="{00000000-0005-0000-0000-00001E1D0000}"/>
    <cellStyle name="Normal 8 2 6 5" xfId="4536" xr:uid="{00000000-0005-0000-0000-00001F1D0000}"/>
    <cellStyle name="Normal 8 2 7" xfId="556" xr:uid="{00000000-0005-0000-0000-0000201D0000}"/>
    <cellStyle name="Normal 8 2 7 2" xfId="1615" xr:uid="{00000000-0005-0000-0000-0000211D0000}"/>
    <cellStyle name="Normal 8 2 7 2 2" xfId="3737" xr:uid="{00000000-0005-0000-0000-0000221D0000}"/>
    <cellStyle name="Normal 8 2 7 2 2 2" xfId="7983" xr:uid="{00000000-0005-0000-0000-0000231D0000}"/>
    <cellStyle name="Normal 8 2 7 2 3" xfId="5861" xr:uid="{00000000-0005-0000-0000-0000241D0000}"/>
    <cellStyle name="Normal 8 2 7 3" xfId="2678" xr:uid="{00000000-0005-0000-0000-0000251D0000}"/>
    <cellStyle name="Normal 8 2 7 3 2" xfId="6924" xr:uid="{00000000-0005-0000-0000-0000261D0000}"/>
    <cellStyle name="Normal 8 2 7 4" xfId="4802" xr:uid="{00000000-0005-0000-0000-0000271D0000}"/>
    <cellStyle name="Normal 8 2 8" xfId="1086" xr:uid="{00000000-0005-0000-0000-0000281D0000}"/>
    <cellStyle name="Normal 8 2 8 2" xfId="3208" xr:uid="{00000000-0005-0000-0000-0000291D0000}"/>
    <cellStyle name="Normal 8 2 8 2 2" xfId="7454" xr:uid="{00000000-0005-0000-0000-00002A1D0000}"/>
    <cellStyle name="Normal 8 2 8 3" xfId="5332" xr:uid="{00000000-0005-0000-0000-00002B1D0000}"/>
    <cellStyle name="Normal 8 2 9" xfId="2149" xr:uid="{00000000-0005-0000-0000-00002C1D0000}"/>
    <cellStyle name="Normal 8 2 9 2" xfId="6395" xr:uid="{00000000-0005-0000-0000-00002D1D0000}"/>
    <cellStyle name="Normal 8 3" xfId="35" xr:uid="{00000000-0005-0000-0000-00002E1D0000}"/>
    <cellStyle name="Normal 8 3 2" xfId="121" xr:uid="{00000000-0005-0000-0000-00002F1D0000}"/>
    <cellStyle name="Normal 8 3 2 2" xfId="252" xr:uid="{00000000-0005-0000-0000-0000301D0000}"/>
    <cellStyle name="Normal 8 3 2 2 2" xfId="515" xr:uid="{00000000-0005-0000-0000-0000311D0000}"/>
    <cellStyle name="Normal 8 3 2 2 2 2" xfId="1045" xr:uid="{00000000-0005-0000-0000-0000321D0000}"/>
    <cellStyle name="Normal 8 3 2 2 2 2 2" xfId="2104" xr:uid="{00000000-0005-0000-0000-0000331D0000}"/>
    <cellStyle name="Normal 8 3 2 2 2 2 2 2" xfId="4226" xr:uid="{00000000-0005-0000-0000-0000341D0000}"/>
    <cellStyle name="Normal 8 3 2 2 2 2 2 2 2" xfId="8472" xr:uid="{00000000-0005-0000-0000-0000351D0000}"/>
    <cellStyle name="Normal 8 3 2 2 2 2 2 3" xfId="6350" xr:uid="{00000000-0005-0000-0000-0000361D0000}"/>
    <cellStyle name="Normal 8 3 2 2 2 2 3" xfId="3167" xr:uid="{00000000-0005-0000-0000-0000371D0000}"/>
    <cellStyle name="Normal 8 3 2 2 2 2 3 2" xfId="7413" xr:uid="{00000000-0005-0000-0000-0000381D0000}"/>
    <cellStyle name="Normal 8 3 2 2 2 2 4" xfId="5291" xr:uid="{00000000-0005-0000-0000-0000391D0000}"/>
    <cellStyle name="Normal 8 3 2 2 2 3" xfId="1575" xr:uid="{00000000-0005-0000-0000-00003A1D0000}"/>
    <cellStyle name="Normal 8 3 2 2 2 3 2" xfId="3697" xr:uid="{00000000-0005-0000-0000-00003B1D0000}"/>
    <cellStyle name="Normal 8 3 2 2 2 3 2 2" xfId="7943" xr:uid="{00000000-0005-0000-0000-00003C1D0000}"/>
    <cellStyle name="Normal 8 3 2 2 2 3 3" xfId="5821" xr:uid="{00000000-0005-0000-0000-00003D1D0000}"/>
    <cellStyle name="Normal 8 3 2 2 2 4" xfId="2638" xr:uid="{00000000-0005-0000-0000-00003E1D0000}"/>
    <cellStyle name="Normal 8 3 2 2 2 4 2" xfId="6884" xr:uid="{00000000-0005-0000-0000-00003F1D0000}"/>
    <cellStyle name="Normal 8 3 2 2 2 5" xfId="4762" xr:uid="{00000000-0005-0000-0000-0000401D0000}"/>
    <cellStyle name="Normal 8 3 2 2 3" xfId="782" xr:uid="{00000000-0005-0000-0000-0000411D0000}"/>
    <cellStyle name="Normal 8 3 2 2 3 2" xfId="1841" xr:uid="{00000000-0005-0000-0000-0000421D0000}"/>
    <cellStyle name="Normal 8 3 2 2 3 2 2" xfId="3963" xr:uid="{00000000-0005-0000-0000-0000431D0000}"/>
    <cellStyle name="Normal 8 3 2 2 3 2 2 2" xfId="8209" xr:uid="{00000000-0005-0000-0000-0000441D0000}"/>
    <cellStyle name="Normal 8 3 2 2 3 2 3" xfId="6087" xr:uid="{00000000-0005-0000-0000-0000451D0000}"/>
    <cellStyle name="Normal 8 3 2 2 3 3" xfId="2904" xr:uid="{00000000-0005-0000-0000-0000461D0000}"/>
    <cellStyle name="Normal 8 3 2 2 3 3 2" xfId="7150" xr:uid="{00000000-0005-0000-0000-0000471D0000}"/>
    <cellStyle name="Normal 8 3 2 2 3 4" xfId="5028" xr:uid="{00000000-0005-0000-0000-0000481D0000}"/>
    <cellStyle name="Normal 8 3 2 2 4" xfId="1312" xr:uid="{00000000-0005-0000-0000-0000491D0000}"/>
    <cellStyle name="Normal 8 3 2 2 4 2" xfId="3434" xr:uid="{00000000-0005-0000-0000-00004A1D0000}"/>
    <cellStyle name="Normal 8 3 2 2 4 2 2" xfId="7680" xr:uid="{00000000-0005-0000-0000-00004B1D0000}"/>
    <cellStyle name="Normal 8 3 2 2 4 3" xfId="5558" xr:uid="{00000000-0005-0000-0000-00004C1D0000}"/>
    <cellStyle name="Normal 8 3 2 2 5" xfId="2375" xr:uid="{00000000-0005-0000-0000-00004D1D0000}"/>
    <cellStyle name="Normal 8 3 2 2 5 2" xfId="6621" xr:uid="{00000000-0005-0000-0000-00004E1D0000}"/>
    <cellStyle name="Normal 8 3 2 2 6" xfId="4499" xr:uid="{00000000-0005-0000-0000-00004F1D0000}"/>
    <cellStyle name="Normal 8 3 2 3" xfId="384" xr:uid="{00000000-0005-0000-0000-0000501D0000}"/>
    <cellStyle name="Normal 8 3 2 3 2" xfId="914" xr:uid="{00000000-0005-0000-0000-0000511D0000}"/>
    <cellStyle name="Normal 8 3 2 3 2 2" xfId="1973" xr:uid="{00000000-0005-0000-0000-0000521D0000}"/>
    <cellStyle name="Normal 8 3 2 3 2 2 2" xfId="4095" xr:uid="{00000000-0005-0000-0000-0000531D0000}"/>
    <cellStyle name="Normal 8 3 2 3 2 2 2 2" xfId="8341" xr:uid="{00000000-0005-0000-0000-0000541D0000}"/>
    <cellStyle name="Normal 8 3 2 3 2 2 3" xfId="6219" xr:uid="{00000000-0005-0000-0000-0000551D0000}"/>
    <cellStyle name="Normal 8 3 2 3 2 3" xfId="3036" xr:uid="{00000000-0005-0000-0000-0000561D0000}"/>
    <cellStyle name="Normal 8 3 2 3 2 3 2" xfId="7282" xr:uid="{00000000-0005-0000-0000-0000571D0000}"/>
    <cellStyle name="Normal 8 3 2 3 2 4" xfId="5160" xr:uid="{00000000-0005-0000-0000-0000581D0000}"/>
    <cellStyle name="Normal 8 3 2 3 3" xfId="1444" xr:uid="{00000000-0005-0000-0000-0000591D0000}"/>
    <cellStyle name="Normal 8 3 2 3 3 2" xfId="3566" xr:uid="{00000000-0005-0000-0000-00005A1D0000}"/>
    <cellStyle name="Normal 8 3 2 3 3 2 2" xfId="7812" xr:uid="{00000000-0005-0000-0000-00005B1D0000}"/>
    <cellStyle name="Normal 8 3 2 3 3 3" xfId="5690" xr:uid="{00000000-0005-0000-0000-00005C1D0000}"/>
    <cellStyle name="Normal 8 3 2 3 4" xfId="2507" xr:uid="{00000000-0005-0000-0000-00005D1D0000}"/>
    <cellStyle name="Normal 8 3 2 3 4 2" xfId="6753" xr:uid="{00000000-0005-0000-0000-00005E1D0000}"/>
    <cellStyle name="Normal 8 3 2 3 5" xfId="4631" xr:uid="{00000000-0005-0000-0000-00005F1D0000}"/>
    <cellStyle name="Normal 8 3 2 4" xfId="651" xr:uid="{00000000-0005-0000-0000-0000601D0000}"/>
    <cellStyle name="Normal 8 3 2 4 2" xfId="1710" xr:uid="{00000000-0005-0000-0000-0000611D0000}"/>
    <cellStyle name="Normal 8 3 2 4 2 2" xfId="3832" xr:uid="{00000000-0005-0000-0000-0000621D0000}"/>
    <cellStyle name="Normal 8 3 2 4 2 2 2" xfId="8078" xr:uid="{00000000-0005-0000-0000-0000631D0000}"/>
    <cellStyle name="Normal 8 3 2 4 2 3" xfId="5956" xr:uid="{00000000-0005-0000-0000-0000641D0000}"/>
    <cellStyle name="Normal 8 3 2 4 3" xfId="2773" xr:uid="{00000000-0005-0000-0000-0000651D0000}"/>
    <cellStyle name="Normal 8 3 2 4 3 2" xfId="7019" xr:uid="{00000000-0005-0000-0000-0000661D0000}"/>
    <cellStyle name="Normal 8 3 2 4 4" xfId="4897" xr:uid="{00000000-0005-0000-0000-0000671D0000}"/>
    <cellStyle name="Normal 8 3 2 5" xfId="1181" xr:uid="{00000000-0005-0000-0000-0000681D0000}"/>
    <cellStyle name="Normal 8 3 2 5 2" xfId="3303" xr:uid="{00000000-0005-0000-0000-0000691D0000}"/>
    <cellStyle name="Normal 8 3 2 5 2 2" xfId="7549" xr:uid="{00000000-0005-0000-0000-00006A1D0000}"/>
    <cellStyle name="Normal 8 3 2 5 3" xfId="5427" xr:uid="{00000000-0005-0000-0000-00006B1D0000}"/>
    <cellStyle name="Normal 8 3 2 6" xfId="2244" xr:uid="{00000000-0005-0000-0000-00006C1D0000}"/>
    <cellStyle name="Normal 8 3 2 6 2" xfId="6490" xr:uid="{00000000-0005-0000-0000-00006D1D0000}"/>
    <cellStyle name="Normal 8 3 2 7" xfId="4368" xr:uid="{00000000-0005-0000-0000-00006E1D0000}"/>
    <cellStyle name="Normal 8 3 3" xfId="78" xr:uid="{00000000-0005-0000-0000-00006F1D0000}"/>
    <cellStyle name="Normal 8 3 3 2" xfId="210" xr:uid="{00000000-0005-0000-0000-0000701D0000}"/>
    <cellStyle name="Normal 8 3 3 2 2" xfId="473" xr:uid="{00000000-0005-0000-0000-0000711D0000}"/>
    <cellStyle name="Normal 8 3 3 2 2 2" xfId="1003" xr:uid="{00000000-0005-0000-0000-0000721D0000}"/>
    <cellStyle name="Normal 8 3 3 2 2 2 2" xfId="2062" xr:uid="{00000000-0005-0000-0000-0000731D0000}"/>
    <cellStyle name="Normal 8 3 3 2 2 2 2 2" xfId="4184" xr:uid="{00000000-0005-0000-0000-0000741D0000}"/>
    <cellStyle name="Normal 8 3 3 2 2 2 2 2 2" xfId="8430" xr:uid="{00000000-0005-0000-0000-0000751D0000}"/>
    <cellStyle name="Normal 8 3 3 2 2 2 2 3" xfId="6308" xr:uid="{00000000-0005-0000-0000-0000761D0000}"/>
    <cellStyle name="Normal 8 3 3 2 2 2 3" xfId="3125" xr:uid="{00000000-0005-0000-0000-0000771D0000}"/>
    <cellStyle name="Normal 8 3 3 2 2 2 3 2" xfId="7371" xr:uid="{00000000-0005-0000-0000-0000781D0000}"/>
    <cellStyle name="Normal 8 3 3 2 2 2 4" xfId="5249" xr:uid="{00000000-0005-0000-0000-0000791D0000}"/>
    <cellStyle name="Normal 8 3 3 2 2 3" xfId="1533" xr:uid="{00000000-0005-0000-0000-00007A1D0000}"/>
    <cellStyle name="Normal 8 3 3 2 2 3 2" xfId="3655" xr:uid="{00000000-0005-0000-0000-00007B1D0000}"/>
    <cellStyle name="Normal 8 3 3 2 2 3 2 2" xfId="7901" xr:uid="{00000000-0005-0000-0000-00007C1D0000}"/>
    <cellStyle name="Normal 8 3 3 2 2 3 3" xfId="5779" xr:uid="{00000000-0005-0000-0000-00007D1D0000}"/>
    <cellStyle name="Normal 8 3 3 2 2 4" xfId="2596" xr:uid="{00000000-0005-0000-0000-00007E1D0000}"/>
    <cellStyle name="Normal 8 3 3 2 2 4 2" xfId="6842" xr:uid="{00000000-0005-0000-0000-00007F1D0000}"/>
    <cellStyle name="Normal 8 3 3 2 2 5" xfId="4720" xr:uid="{00000000-0005-0000-0000-0000801D0000}"/>
    <cellStyle name="Normal 8 3 3 2 3" xfId="740" xr:uid="{00000000-0005-0000-0000-0000811D0000}"/>
    <cellStyle name="Normal 8 3 3 2 3 2" xfId="1799" xr:uid="{00000000-0005-0000-0000-0000821D0000}"/>
    <cellStyle name="Normal 8 3 3 2 3 2 2" xfId="3921" xr:uid="{00000000-0005-0000-0000-0000831D0000}"/>
    <cellStyle name="Normal 8 3 3 2 3 2 2 2" xfId="8167" xr:uid="{00000000-0005-0000-0000-0000841D0000}"/>
    <cellStyle name="Normal 8 3 3 2 3 2 3" xfId="6045" xr:uid="{00000000-0005-0000-0000-0000851D0000}"/>
    <cellStyle name="Normal 8 3 3 2 3 3" xfId="2862" xr:uid="{00000000-0005-0000-0000-0000861D0000}"/>
    <cellStyle name="Normal 8 3 3 2 3 3 2" xfId="7108" xr:uid="{00000000-0005-0000-0000-0000871D0000}"/>
    <cellStyle name="Normal 8 3 3 2 3 4" xfId="4986" xr:uid="{00000000-0005-0000-0000-0000881D0000}"/>
    <cellStyle name="Normal 8 3 3 2 4" xfId="1270" xr:uid="{00000000-0005-0000-0000-0000891D0000}"/>
    <cellStyle name="Normal 8 3 3 2 4 2" xfId="3392" xr:uid="{00000000-0005-0000-0000-00008A1D0000}"/>
    <cellStyle name="Normal 8 3 3 2 4 2 2" xfId="7638" xr:uid="{00000000-0005-0000-0000-00008B1D0000}"/>
    <cellStyle name="Normal 8 3 3 2 4 3" xfId="5516" xr:uid="{00000000-0005-0000-0000-00008C1D0000}"/>
    <cellStyle name="Normal 8 3 3 2 5" xfId="2333" xr:uid="{00000000-0005-0000-0000-00008D1D0000}"/>
    <cellStyle name="Normal 8 3 3 2 5 2" xfId="6579" xr:uid="{00000000-0005-0000-0000-00008E1D0000}"/>
    <cellStyle name="Normal 8 3 3 2 6" xfId="4457" xr:uid="{00000000-0005-0000-0000-00008F1D0000}"/>
    <cellStyle name="Normal 8 3 3 3" xfId="342" xr:uid="{00000000-0005-0000-0000-0000901D0000}"/>
    <cellStyle name="Normal 8 3 3 3 2" xfId="872" xr:uid="{00000000-0005-0000-0000-0000911D0000}"/>
    <cellStyle name="Normal 8 3 3 3 2 2" xfId="1931" xr:uid="{00000000-0005-0000-0000-0000921D0000}"/>
    <cellStyle name="Normal 8 3 3 3 2 2 2" xfId="4053" xr:uid="{00000000-0005-0000-0000-0000931D0000}"/>
    <cellStyle name="Normal 8 3 3 3 2 2 2 2" xfId="8299" xr:uid="{00000000-0005-0000-0000-0000941D0000}"/>
    <cellStyle name="Normal 8 3 3 3 2 2 3" xfId="6177" xr:uid="{00000000-0005-0000-0000-0000951D0000}"/>
    <cellStyle name="Normal 8 3 3 3 2 3" xfId="2994" xr:uid="{00000000-0005-0000-0000-0000961D0000}"/>
    <cellStyle name="Normal 8 3 3 3 2 3 2" xfId="7240" xr:uid="{00000000-0005-0000-0000-0000971D0000}"/>
    <cellStyle name="Normal 8 3 3 3 2 4" xfId="5118" xr:uid="{00000000-0005-0000-0000-0000981D0000}"/>
    <cellStyle name="Normal 8 3 3 3 3" xfId="1402" xr:uid="{00000000-0005-0000-0000-0000991D0000}"/>
    <cellStyle name="Normal 8 3 3 3 3 2" xfId="3524" xr:uid="{00000000-0005-0000-0000-00009A1D0000}"/>
    <cellStyle name="Normal 8 3 3 3 3 2 2" xfId="7770" xr:uid="{00000000-0005-0000-0000-00009B1D0000}"/>
    <cellStyle name="Normal 8 3 3 3 3 3" xfId="5648" xr:uid="{00000000-0005-0000-0000-00009C1D0000}"/>
    <cellStyle name="Normal 8 3 3 3 4" xfId="2465" xr:uid="{00000000-0005-0000-0000-00009D1D0000}"/>
    <cellStyle name="Normal 8 3 3 3 4 2" xfId="6711" xr:uid="{00000000-0005-0000-0000-00009E1D0000}"/>
    <cellStyle name="Normal 8 3 3 3 5" xfId="4589" xr:uid="{00000000-0005-0000-0000-00009F1D0000}"/>
    <cellStyle name="Normal 8 3 3 4" xfId="609" xr:uid="{00000000-0005-0000-0000-0000A01D0000}"/>
    <cellStyle name="Normal 8 3 3 4 2" xfId="1668" xr:uid="{00000000-0005-0000-0000-0000A11D0000}"/>
    <cellStyle name="Normal 8 3 3 4 2 2" xfId="3790" xr:uid="{00000000-0005-0000-0000-0000A21D0000}"/>
    <cellStyle name="Normal 8 3 3 4 2 2 2" xfId="8036" xr:uid="{00000000-0005-0000-0000-0000A31D0000}"/>
    <cellStyle name="Normal 8 3 3 4 2 3" xfId="5914" xr:uid="{00000000-0005-0000-0000-0000A41D0000}"/>
    <cellStyle name="Normal 8 3 3 4 3" xfId="2731" xr:uid="{00000000-0005-0000-0000-0000A51D0000}"/>
    <cellStyle name="Normal 8 3 3 4 3 2" xfId="6977" xr:uid="{00000000-0005-0000-0000-0000A61D0000}"/>
    <cellStyle name="Normal 8 3 3 4 4" xfId="4855" xr:uid="{00000000-0005-0000-0000-0000A71D0000}"/>
    <cellStyle name="Normal 8 3 3 5" xfId="1139" xr:uid="{00000000-0005-0000-0000-0000A81D0000}"/>
    <cellStyle name="Normal 8 3 3 5 2" xfId="3261" xr:uid="{00000000-0005-0000-0000-0000A91D0000}"/>
    <cellStyle name="Normal 8 3 3 5 2 2" xfId="7507" xr:uid="{00000000-0005-0000-0000-0000AA1D0000}"/>
    <cellStyle name="Normal 8 3 3 5 3" xfId="5385" xr:uid="{00000000-0005-0000-0000-0000AB1D0000}"/>
    <cellStyle name="Normal 8 3 3 6" xfId="2202" xr:uid="{00000000-0005-0000-0000-0000AC1D0000}"/>
    <cellStyle name="Normal 8 3 3 6 2" xfId="6448" xr:uid="{00000000-0005-0000-0000-0000AD1D0000}"/>
    <cellStyle name="Normal 8 3 3 7" xfId="4326" xr:uid="{00000000-0005-0000-0000-0000AE1D0000}"/>
    <cellStyle name="Normal 8 3 4" xfId="167" xr:uid="{00000000-0005-0000-0000-0000AF1D0000}"/>
    <cellStyle name="Normal 8 3 4 2" xfId="430" xr:uid="{00000000-0005-0000-0000-0000B01D0000}"/>
    <cellStyle name="Normal 8 3 4 2 2" xfId="960" xr:uid="{00000000-0005-0000-0000-0000B11D0000}"/>
    <cellStyle name="Normal 8 3 4 2 2 2" xfId="2019" xr:uid="{00000000-0005-0000-0000-0000B21D0000}"/>
    <cellStyle name="Normal 8 3 4 2 2 2 2" xfId="4141" xr:uid="{00000000-0005-0000-0000-0000B31D0000}"/>
    <cellStyle name="Normal 8 3 4 2 2 2 2 2" xfId="8387" xr:uid="{00000000-0005-0000-0000-0000B41D0000}"/>
    <cellStyle name="Normal 8 3 4 2 2 2 3" xfId="6265" xr:uid="{00000000-0005-0000-0000-0000B51D0000}"/>
    <cellStyle name="Normal 8 3 4 2 2 3" xfId="3082" xr:uid="{00000000-0005-0000-0000-0000B61D0000}"/>
    <cellStyle name="Normal 8 3 4 2 2 3 2" xfId="7328" xr:uid="{00000000-0005-0000-0000-0000B71D0000}"/>
    <cellStyle name="Normal 8 3 4 2 2 4" xfId="5206" xr:uid="{00000000-0005-0000-0000-0000B81D0000}"/>
    <cellStyle name="Normal 8 3 4 2 3" xfId="1490" xr:uid="{00000000-0005-0000-0000-0000B91D0000}"/>
    <cellStyle name="Normal 8 3 4 2 3 2" xfId="3612" xr:uid="{00000000-0005-0000-0000-0000BA1D0000}"/>
    <cellStyle name="Normal 8 3 4 2 3 2 2" xfId="7858" xr:uid="{00000000-0005-0000-0000-0000BB1D0000}"/>
    <cellStyle name="Normal 8 3 4 2 3 3" xfId="5736" xr:uid="{00000000-0005-0000-0000-0000BC1D0000}"/>
    <cellStyle name="Normal 8 3 4 2 4" xfId="2553" xr:uid="{00000000-0005-0000-0000-0000BD1D0000}"/>
    <cellStyle name="Normal 8 3 4 2 4 2" xfId="6799" xr:uid="{00000000-0005-0000-0000-0000BE1D0000}"/>
    <cellStyle name="Normal 8 3 4 2 5" xfId="4677" xr:uid="{00000000-0005-0000-0000-0000BF1D0000}"/>
    <cellStyle name="Normal 8 3 4 3" xfId="697" xr:uid="{00000000-0005-0000-0000-0000C01D0000}"/>
    <cellStyle name="Normal 8 3 4 3 2" xfId="1756" xr:uid="{00000000-0005-0000-0000-0000C11D0000}"/>
    <cellStyle name="Normal 8 3 4 3 2 2" xfId="3878" xr:uid="{00000000-0005-0000-0000-0000C21D0000}"/>
    <cellStyle name="Normal 8 3 4 3 2 2 2" xfId="8124" xr:uid="{00000000-0005-0000-0000-0000C31D0000}"/>
    <cellStyle name="Normal 8 3 4 3 2 3" xfId="6002" xr:uid="{00000000-0005-0000-0000-0000C41D0000}"/>
    <cellStyle name="Normal 8 3 4 3 3" xfId="2819" xr:uid="{00000000-0005-0000-0000-0000C51D0000}"/>
    <cellStyle name="Normal 8 3 4 3 3 2" xfId="7065" xr:uid="{00000000-0005-0000-0000-0000C61D0000}"/>
    <cellStyle name="Normal 8 3 4 3 4" xfId="4943" xr:uid="{00000000-0005-0000-0000-0000C71D0000}"/>
    <cellStyle name="Normal 8 3 4 4" xfId="1227" xr:uid="{00000000-0005-0000-0000-0000C81D0000}"/>
    <cellStyle name="Normal 8 3 4 4 2" xfId="3349" xr:uid="{00000000-0005-0000-0000-0000C91D0000}"/>
    <cellStyle name="Normal 8 3 4 4 2 2" xfId="7595" xr:uid="{00000000-0005-0000-0000-0000CA1D0000}"/>
    <cellStyle name="Normal 8 3 4 4 3" xfId="5473" xr:uid="{00000000-0005-0000-0000-0000CB1D0000}"/>
    <cellStyle name="Normal 8 3 4 5" xfId="2290" xr:uid="{00000000-0005-0000-0000-0000CC1D0000}"/>
    <cellStyle name="Normal 8 3 4 5 2" xfId="6536" xr:uid="{00000000-0005-0000-0000-0000CD1D0000}"/>
    <cellStyle name="Normal 8 3 4 6" xfId="4414" xr:uid="{00000000-0005-0000-0000-0000CE1D0000}"/>
    <cellStyle name="Normal 8 3 5" xfId="299" xr:uid="{00000000-0005-0000-0000-0000CF1D0000}"/>
    <cellStyle name="Normal 8 3 5 2" xfId="829" xr:uid="{00000000-0005-0000-0000-0000D01D0000}"/>
    <cellStyle name="Normal 8 3 5 2 2" xfId="1888" xr:uid="{00000000-0005-0000-0000-0000D11D0000}"/>
    <cellStyle name="Normal 8 3 5 2 2 2" xfId="4010" xr:uid="{00000000-0005-0000-0000-0000D21D0000}"/>
    <cellStyle name="Normal 8 3 5 2 2 2 2" xfId="8256" xr:uid="{00000000-0005-0000-0000-0000D31D0000}"/>
    <cellStyle name="Normal 8 3 5 2 2 3" xfId="6134" xr:uid="{00000000-0005-0000-0000-0000D41D0000}"/>
    <cellStyle name="Normal 8 3 5 2 3" xfId="2951" xr:uid="{00000000-0005-0000-0000-0000D51D0000}"/>
    <cellStyle name="Normal 8 3 5 2 3 2" xfId="7197" xr:uid="{00000000-0005-0000-0000-0000D61D0000}"/>
    <cellStyle name="Normal 8 3 5 2 4" xfId="5075" xr:uid="{00000000-0005-0000-0000-0000D71D0000}"/>
    <cellStyle name="Normal 8 3 5 3" xfId="1359" xr:uid="{00000000-0005-0000-0000-0000D81D0000}"/>
    <cellStyle name="Normal 8 3 5 3 2" xfId="3481" xr:uid="{00000000-0005-0000-0000-0000D91D0000}"/>
    <cellStyle name="Normal 8 3 5 3 2 2" xfId="7727" xr:uid="{00000000-0005-0000-0000-0000DA1D0000}"/>
    <cellStyle name="Normal 8 3 5 3 3" xfId="5605" xr:uid="{00000000-0005-0000-0000-0000DB1D0000}"/>
    <cellStyle name="Normal 8 3 5 4" xfId="2422" xr:uid="{00000000-0005-0000-0000-0000DC1D0000}"/>
    <cellStyle name="Normal 8 3 5 4 2" xfId="6668" xr:uid="{00000000-0005-0000-0000-0000DD1D0000}"/>
    <cellStyle name="Normal 8 3 5 5" xfId="4546" xr:uid="{00000000-0005-0000-0000-0000DE1D0000}"/>
    <cellStyle name="Normal 8 3 6" xfId="566" xr:uid="{00000000-0005-0000-0000-0000DF1D0000}"/>
    <cellStyle name="Normal 8 3 6 2" xfId="1625" xr:uid="{00000000-0005-0000-0000-0000E01D0000}"/>
    <cellStyle name="Normal 8 3 6 2 2" xfId="3747" xr:uid="{00000000-0005-0000-0000-0000E11D0000}"/>
    <cellStyle name="Normal 8 3 6 2 2 2" xfId="7993" xr:uid="{00000000-0005-0000-0000-0000E21D0000}"/>
    <cellStyle name="Normal 8 3 6 2 3" xfId="5871" xr:uid="{00000000-0005-0000-0000-0000E31D0000}"/>
    <cellStyle name="Normal 8 3 6 3" xfId="2688" xr:uid="{00000000-0005-0000-0000-0000E41D0000}"/>
    <cellStyle name="Normal 8 3 6 3 2" xfId="6934" xr:uid="{00000000-0005-0000-0000-0000E51D0000}"/>
    <cellStyle name="Normal 8 3 6 4" xfId="4812" xr:uid="{00000000-0005-0000-0000-0000E61D0000}"/>
    <cellStyle name="Normal 8 3 7" xfId="1096" xr:uid="{00000000-0005-0000-0000-0000E71D0000}"/>
    <cellStyle name="Normal 8 3 7 2" xfId="3218" xr:uid="{00000000-0005-0000-0000-0000E81D0000}"/>
    <cellStyle name="Normal 8 3 7 2 2" xfId="7464" xr:uid="{00000000-0005-0000-0000-0000E91D0000}"/>
    <cellStyle name="Normal 8 3 7 3" xfId="5342" xr:uid="{00000000-0005-0000-0000-0000EA1D0000}"/>
    <cellStyle name="Normal 8 3 8" xfId="2159" xr:uid="{00000000-0005-0000-0000-0000EB1D0000}"/>
    <cellStyle name="Normal 8 3 8 2" xfId="6405" xr:uid="{00000000-0005-0000-0000-0000EC1D0000}"/>
    <cellStyle name="Normal 8 3 9" xfId="4283" xr:uid="{00000000-0005-0000-0000-0000ED1D0000}"/>
    <cellStyle name="Normal 8 4" xfId="101" xr:uid="{00000000-0005-0000-0000-0000EE1D0000}"/>
    <cellStyle name="Normal 8 4 2" xfId="232" xr:uid="{00000000-0005-0000-0000-0000EF1D0000}"/>
    <cellStyle name="Normal 8 4 2 2" xfId="495" xr:uid="{00000000-0005-0000-0000-0000F01D0000}"/>
    <cellStyle name="Normal 8 4 2 2 2" xfId="1025" xr:uid="{00000000-0005-0000-0000-0000F11D0000}"/>
    <cellStyle name="Normal 8 4 2 2 2 2" xfId="2084" xr:uid="{00000000-0005-0000-0000-0000F21D0000}"/>
    <cellStyle name="Normal 8 4 2 2 2 2 2" xfId="4206" xr:uid="{00000000-0005-0000-0000-0000F31D0000}"/>
    <cellStyle name="Normal 8 4 2 2 2 2 2 2" xfId="8452" xr:uid="{00000000-0005-0000-0000-0000F41D0000}"/>
    <cellStyle name="Normal 8 4 2 2 2 2 3" xfId="6330" xr:uid="{00000000-0005-0000-0000-0000F51D0000}"/>
    <cellStyle name="Normal 8 4 2 2 2 3" xfId="3147" xr:uid="{00000000-0005-0000-0000-0000F61D0000}"/>
    <cellStyle name="Normal 8 4 2 2 2 3 2" xfId="7393" xr:uid="{00000000-0005-0000-0000-0000F71D0000}"/>
    <cellStyle name="Normal 8 4 2 2 2 4" xfId="5271" xr:uid="{00000000-0005-0000-0000-0000F81D0000}"/>
    <cellStyle name="Normal 8 4 2 2 3" xfId="1555" xr:uid="{00000000-0005-0000-0000-0000F91D0000}"/>
    <cellStyle name="Normal 8 4 2 2 3 2" xfId="3677" xr:uid="{00000000-0005-0000-0000-0000FA1D0000}"/>
    <cellStyle name="Normal 8 4 2 2 3 2 2" xfId="7923" xr:uid="{00000000-0005-0000-0000-0000FB1D0000}"/>
    <cellStyle name="Normal 8 4 2 2 3 3" xfId="5801" xr:uid="{00000000-0005-0000-0000-0000FC1D0000}"/>
    <cellStyle name="Normal 8 4 2 2 4" xfId="2618" xr:uid="{00000000-0005-0000-0000-0000FD1D0000}"/>
    <cellStyle name="Normal 8 4 2 2 4 2" xfId="6864" xr:uid="{00000000-0005-0000-0000-0000FE1D0000}"/>
    <cellStyle name="Normal 8 4 2 2 5" xfId="4742" xr:uid="{00000000-0005-0000-0000-0000FF1D0000}"/>
    <cellStyle name="Normal 8 4 2 3" xfId="762" xr:uid="{00000000-0005-0000-0000-0000001E0000}"/>
    <cellStyle name="Normal 8 4 2 3 2" xfId="1821" xr:uid="{00000000-0005-0000-0000-0000011E0000}"/>
    <cellStyle name="Normal 8 4 2 3 2 2" xfId="3943" xr:uid="{00000000-0005-0000-0000-0000021E0000}"/>
    <cellStyle name="Normal 8 4 2 3 2 2 2" xfId="8189" xr:uid="{00000000-0005-0000-0000-0000031E0000}"/>
    <cellStyle name="Normal 8 4 2 3 2 3" xfId="6067" xr:uid="{00000000-0005-0000-0000-0000041E0000}"/>
    <cellStyle name="Normal 8 4 2 3 3" xfId="2884" xr:uid="{00000000-0005-0000-0000-0000051E0000}"/>
    <cellStyle name="Normal 8 4 2 3 3 2" xfId="7130" xr:uid="{00000000-0005-0000-0000-0000061E0000}"/>
    <cellStyle name="Normal 8 4 2 3 4" xfId="5008" xr:uid="{00000000-0005-0000-0000-0000071E0000}"/>
    <cellStyle name="Normal 8 4 2 4" xfId="1292" xr:uid="{00000000-0005-0000-0000-0000081E0000}"/>
    <cellStyle name="Normal 8 4 2 4 2" xfId="3414" xr:uid="{00000000-0005-0000-0000-0000091E0000}"/>
    <cellStyle name="Normal 8 4 2 4 2 2" xfId="7660" xr:uid="{00000000-0005-0000-0000-00000A1E0000}"/>
    <cellStyle name="Normal 8 4 2 4 3" xfId="5538" xr:uid="{00000000-0005-0000-0000-00000B1E0000}"/>
    <cellStyle name="Normal 8 4 2 5" xfId="2355" xr:uid="{00000000-0005-0000-0000-00000C1E0000}"/>
    <cellStyle name="Normal 8 4 2 5 2" xfId="6601" xr:uid="{00000000-0005-0000-0000-00000D1E0000}"/>
    <cellStyle name="Normal 8 4 2 6" xfId="4479" xr:uid="{00000000-0005-0000-0000-00000E1E0000}"/>
    <cellStyle name="Normal 8 4 3" xfId="364" xr:uid="{00000000-0005-0000-0000-00000F1E0000}"/>
    <cellStyle name="Normal 8 4 3 2" xfId="894" xr:uid="{00000000-0005-0000-0000-0000101E0000}"/>
    <cellStyle name="Normal 8 4 3 2 2" xfId="1953" xr:uid="{00000000-0005-0000-0000-0000111E0000}"/>
    <cellStyle name="Normal 8 4 3 2 2 2" xfId="4075" xr:uid="{00000000-0005-0000-0000-0000121E0000}"/>
    <cellStyle name="Normal 8 4 3 2 2 2 2" xfId="8321" xr:uid="{00000000-0005-0000-0000-0000131E0000}"/>
    <cellStyle name="Normal 8 4 3 2 2 3" xfId="6199" xr:uid="{00000000-0005-0000-0000-0000141E0000}"/>
    <cellStyle name="Normal 8 4 3 2 3" xfId="3016" xr:uid="{00000000-0005-0000-0000-0000151E0000}"/>
    <cellStyle name="Normal 8 4 3 2 3 2" xfId="7262" xr:uid="{00000000-0005-0000-0000-0000161E0000}"/>
    <cellStyle name="Normal 8 4 3 2 4" xfId="5140" xr:uid="{00000000-0005-0000-0000-0000171E0000}"/>
    <cellStyle name="Normal 8 4 3 3" xfId="1424" xr:uid="{00000000-0005-0000-0000-0000181E0000}"/>
    <cellStyle name="Normal 8 4 3 3 2" xfId="3546" xr:uid="{00000000-0005-0000-0000-0000191E0000}"/>
    <cellStyle name="Normal 8 4 3 3 2 2" xfId="7792" xr:uid="{00000000-0005-0000-0000-00001A1E0000}"/>
    <cellStyle name="Normal 8 4 3 3 3" xfId="5670" xr:uid="{00000000-0005-0000-0000-00001B1E0000}"/>
    <cellStyle name="Normal 8 4 3 4" xfId="2487" xr:uid="{00000000-0005-0000-0000-00001C1E0000}"/>
    <cellStyle name="Normal 8 4 3 4 2" xfId="6733" xr:uid="{00000000-0005-0000-0000-00001D1E0000}"/>
    <cellStyle name="Normal 8 4 3 5" xfId="4611" xr:uid="{00000000-0005-0000-0000-00001E1E0000}"/>
    <cellStyle name="Normal 8 4 4" xfId="631" xr:uid="{00000000-0005-0000-0000-00001F1E0000}"/>
    <cellStyle name="Normal 8 4 4 2" xfId="1690" xr:uid="{00000000-0005-0000-0000-0000201E0000}"/>
    <cellStyle name="Normal 8 4 4 2 2" xfId="3812" xr:uid="{00000000-0005-0000-0000-0000211E0000}"/>
    <cellStyle name="Normal 8 4 4 2 2 2" xfId="8058" xr:uid="{00000000-0005-0000-0000-0000221E0000}"/>
    <cellStyle name="Normal 8 4 4 2 3" xfId="5936" xr:uid="{00000000-0005-0000-0000-0000231E0000}"/>
    <cellStyle name="Normal 8 4 4 3" xfId="2753" xr:uid="{00000000-0005-0000-0000-0000241E0000}"/>
    <cellStyle name="Normal 8 4 4 3 2" xfId="6999" xr:uid="{00000000-0005-0000-0000-0000251E0000}"/>
    <cellStyle name="Normal 8 4 4 4" xfId="4877" xr:uid="{00000000-0005-0000-0000-0000261E0000}"/>
    <cellStyle name="Normal 8 4 5" xfId="1161" xr:uid="{00000000-0005-0000-0000-0000271E0000}"/>
    <cellStyle name="Normal 8 4 5 2" xfId="3283" xr:uid="{00000000-0005-0000-0000-0000281E0000}"/>
    <cellStyle name="Normal 8 4 5 2 2" xfId="7529" xr:uid="{00000000-0005-0000-0000-0000291E0000}"/>
    <cellStyle name="Normal 8 4 5 3" xfId="5407" xr:uid="{00000000-0005-0000-0000-00002A1E0000}"/>
    <cellStyle name="Normal 8 4 6" xfId="2224" xr:uid="{00000000-0005-0000-0000-00002B1E0000}"/>
    <cellStyle name="Normal 8 4 6 2" xfId="6470" xr:uid="{00000000-0005-0000-0000-00002C1E0000}"/>
    <cellStyle name="Normal 8 4 7" xfId="4348" xr:uid="{00000000-0005-0000-0000-00002D1E0000}"/>
    <cellStyle name="Normal 8 5" xfId="58" xr:uid="{00000000-0005-0000-0000-00002E1E0000}"/>
    <cellStyle name="Normal 8 5 2" xfId="190" xr:uid="{00000000-0005-0000-0000-00002F1E0000}"/>
    <cellStyle name="Normal 8 5 2 2" xfId="453" xr:uid="{00000000-0005-0000-0000-0000301E0000}"/>
    <cellStyle name="Normal 8 5 2 2 2" xfId="983" xr:uid="{00000000-0005-0000-0000-0000311E0000}"/>
    <cellStyle name="Normal 8 5 2 2 2 2" xfId="2042" xr:uid="{00000000-0005-0000-0000-0000321E0000}"/>
    <cellStyle name="Normal 8 5 2 2 2 2 2" xfId="4164" xr:uid="{00000000-0005-0000-0000-0000331E0000}"/>
    <cellStyle name="Normal 8 5 2 2 2 2 2 2" xfId="8410" xr:uid="{00000000-0005-0000-0000-0000341E0000}"/>
    <cellStyle name="Normal 8 5 2 2 2 2 3" xfId="6288" xr:uid="{00000000-0005-0000-0000-0000351E0000}"/>
    <cellStyle name="Normal 8 5 2 2 2 3" xfId="3105" xr:uid="{00000000-0005-0000-0000-0000361E0000}"/>
    <cellStyle name="Normal 8 5 2 2 2 3 2" xfId="7351" xr:uid="{00000000-0005-0000-0000-0000371E0000}"/>
    <cellStyle name="Normal 8 5 2 2 2 4" xfId="5229" xr:uid="{00000000-0005-0000-0000-0000381E0000}"/>
    <cellStyle name="Normal 8 5 2 2 3" xfId="1513" xr:uid="{00000000-0005-0000-0000-0000391E0000}"/>
    <cellStyle name="Normal 8 5 2 2 3 2" xfId="3635" xr:uid="{00000000-0005-0000-0000-00003A1E0000}"/>
    <cellStyle name="Normal 8 5 2 2 3 2 2" xfId="7881" xr:uid="{00000000-0005-0000-0000-00003B1E0000}"/>
    <cellStyle name="Normal 8 5 2 2 3 3" xfId="5759" xr:uid="{00000000-0005-0000-0000-00003C1E0000}"/>
    <cellStyle name="Normal 8 5 2 2 4" xfId="2576" xr:uid="{00000000-0005-0000-0000-00003D1E0000}"/>
    <cellStyle name="Normal 8 5 2 2 4 2" xfId="6822" xr:uid="{00000000-0005-0000-0000-00003E1E0000}"/>
    <cellStyle name="Normal 8 5 2 2 5" xfId="4700" xr:uid="{00000000-0005-0000-0000-00003F1E0000}"/>
    <cellStyle name="Normal 8 5 2 3" xfId="720" xr:uid="{00000000-0005-0000-0000-0000401E0000}"/>
    <cellStyle name="Normal 8 5 2 3 2" xfId="1779" xr:uid="{00000000-0005-0000-0000-0000411E0000}"/>
    <cellStyle name="Normal 8 5 2 3 2 2" xfId="3901" xr:uid="{00000000-0005-0000-0000-0000421E0000}"/>
    <cellStyle name="Normal 8 5 2 3 2 2 2" xfId="8147" xr:uid="{00000000-0005-0000-0000-0000431E0000}"/>
    <cellStyle name="Normal 8 5 2 3 2 3" xfId="6025" xr:uid="{00000000-0005-0000-0000-0000441E0000}"/>
    <cellStyle name="Normal 8 5 2 3 3" xfId="2842" xr:uid="{00000000-0005-0000-0000-0000451E0000}"/>
    <cellStyle name="Normal 8 5 2 3 3 2" xfId="7088" xr:uid="{00000000-0005-0000-0000-0000461E0000}"/>
    <cellStyle name="Normal 8 5 2 3 4" xfId="4966" xr:uid="{00000000-0005-0000-0000-0000471E0000}"/>
    <cellStyle name="Normal 8 5 2 4" xfId="1250" xr:uid="{00000000-0005-0000-0000-0000481E0000}"/>
    <cellStyle name="Normal 8 5 2 4 2" xfId="3372" xr:uid="{00000000-0005-0000-0000-0000491E0000}"/>
    <cellStyle name="Normal 8 5 2 4 2 2" xfId="7618" xr:uid="{00000000-0005-0000-0000-00004A1E0000}"/>
    <cellStyle name="Normal 8 5 2 4 3" xfId="5496" xr:uid="{00000000-0005-0000-0000-00004B1E0000}"/>
    <cellStyle name="Normal 8 5 2 5" xfId="2313" xr:uid="{00000000-0005-0000-0000-00004C1E0000}"/>
    <cellStyle name="Normal 8 5 2 5 2" xfId="6559" xr:uid="{00000000-0005-0000-0000-00004D1E0000}"/>
    <cellStyle name="Normal 8 5 2 6" xfId="4437" xr:uid="{00000000-0005-0000-0000-00004E1E0000}"/>
    <cellStyle name="Normal 8 5 3" xfId="322" xr:uid="{00000000-0005-0000-0000-00004F1E0000}"/>
    <cellStyle name="Normal 8 5 3 2" xfId="852" xr:uid="{00000000-0005-0000-0000-0000501E0000}"/>
    <cellStyle name="Normal 8 5 3 2 2" xfId="1911" xr:uid="{00000000-0005-0000-0000-0000511E0000}"/>
    <cellStyle name="Normal 8 5 3 2 2 2" xfId="4033" xr:uid="{00000000-0005-0000-0000-0000521E0000}"/>
    <cellStyle name="Normal 8 5 3 2 2 2 2" xfId="8279" xr:uid="{00000000-0005-0000-0000-0000531E0000}"/>
    <cellStyle name="Normal 8 5 3 2 2 3" xfId="6157" xr:uid="{00000000-0005-0000-0000-0000541E0000}"/>
    <cellStyle name="Normal 8 5 3 2 3" xfId="2974" xr:uid="{00000000-0005-0000-0000-0000551E0000}"/>
    <cellStyle name="Normal 8 5 3 2 3 2" xfId="7220" xr:uid="{00000000-0005-0000-0000-0000561E0000}"/>
    <cellStyle name="Normal 8 5 3 2 4" xfId="5098" xr:uid="{00000000-0005-0000-0000-0000571E0000}"/>
    <cellStyle name="Normal 8 5 3 3" xfId="1382" xr:uid="{00000000-0005-0000-0000-0000581E0000}"/>
    <cellStyle name="Normal 8 5 3 3 2" xfId="3504" xr:uid="{00000000-0005-0000-0000-0000591E0000}"/>
    <cellStyle name="Normal 8 5 3 3 2 2" xfId="7750" xr:uid="{00000000-0005-0000-0000-00005A1E0000}"/>
    <cellStyle name="Normal 8 5 3 3 3" xfId="5628" xr:uid="{00000000-0005-0000-0000-00005B1E0000}"/>
    <cellStyle name="Normal 8 5 3 4" xfId="2445" xr:uid="{00000000-0005-0000-0000-00005C1E0000}"/>
    <cellStyle name="Normal 8 5 3 4 2" xfId="6691" xr:uid="{00000000-0005-0000-0000-00005D1E0000}"/>
    <cellStyle name="Normal 8 5 3 5" xfId="4569" xr:uid="{00000000-0005-0000-0000-00005E1E0000}"/>
    <cellStyle name="Normal 8 5 4" xfId="589" xr:uid="{00000000-0005-0000-0000-00005F1E0000}"/>
    <cellStyle name="Normal 8 5 4 2" xfId="1648" xr:uid="{00000000-0005-0000-0000-0000601E0000}"/>
    <cellStyle name="Normal 8 5 4 2 2" xfId="3770" xr:uid="{00000000-0005-0000-0000-0000611E0000}"/>
    <cellStyle name="Normal 8 5 4 2 2 2" xfId="8016" xr:uid="{00000000-0005-0000-0000-0000621E0000}"/>
    <cellStyle name="Normal 8 5 4 2 3" xfId="5894" xr:uid="{00000000-0005-0000-0000-0000631E0000}"/>
    <cellStyle name="Normal 8 5 4 3" xfId="2711" xr:uid="{00000000-0005-0000-0000-0000641E0000}"/>
    <cellStyle name="Normal 8 5 4 3 2" xfId="6957" xr:uid="{00000000-0005-0000-0000-0000651E0000}"/>
    <cellStyle name="Normal 8 5 4 4" xfId="4835" xr:uid="{00000000-0005-0000-0000-0000661E0000}"/>
    <cellStyle name="Normal 8 5 5" xfId="1119" xr:uid="{00000000-0005-0000-0000-0000671E0000}"/>
    <cellStyle name="Normal 8 5 5 2" xfId="3241" xr:uid="{00000000-0005-0000-0000-0000681E0000}"/>
    <cellStyle name="Normal 8 5 5 2 2" xfId="7487" xr:uid="{00000000-0005-0000-0000-0000691E0000}"/>
    <cellStyle name="Normal 8 5 5 3" xfId="5365" xr:uid="{00000000-0005-0000-0000-00006A1E0000}"/>
    <cellStyle name="Normal 8 5 6" xfId="2182" xr:uid="{00000000-0005-0000-0000-00006B1E0000}"/>
    <cellStyle name="Normal 8 5 6 2" xfId="6428" xr:uid="{00000000-0005-0000-0000-00006C1E0000}"/>
    <cellStyle name="Normal 8 5 7" xfId="4306" xr:uid="{00000000-0005-0000-0000-00006D1E0000}"/>
    <cellStyle name="Normal 8 6" xfId="146" xr:uid="{00000000-0005-0000-0000-00006E1E0000}"/>
    <cellStyle name="Normal 8 6 2" xfId="409" xr:uid="{00000000-0005-0000-0000-00006F1E0000}"/>
    <cellStyle name="Normal 8 6 2 2" xfId="939" xr:uid="{00000000-0005-0000-0000-0000701E0000}"/>
    <cellStyle name="Normal 8 6 2 2 2" xfId="1998" xr:uid="{00000000-0005-0000-0000-0000711E0000}"/>
    <cellStyle name="Normal 8 6 2 2 2 2" xfId="4120" xr:uid="{00000000-0005-0000-0000-0000721E0000}"/>
    <cellStyle name="Normal 8 6 2 2 2 2 2" xfId="8366" xr:uid="{00000000-0005-0000-0000-0000731E0000}"/>
    <cellStyle name="Normal 8 6 2 2 2 3" xfId="6244" xr:uid="{00000000-0005-0000-0000-0000741E0000}"/>
    <cellStyle name="Normal 8 6 2 2 3" xfId="3061" xr:uid="{00000000-0005-0000-0000-0000751E0000}"/>
    <cellStyle name="Normal 8 6 2 2 3 2" xfId="7307" xr:uid="{00000000-0005-0000-0000-0000761E0000}"/>
    <cellStyle name="Normal 8 6 2 2 4" xfId="5185" xr:uid="{00000000-0005-0000-0000-0000771E0000}"/>
    <cellStyle name="Normal 8 6 2 3" xfId="1469" xr:uid="{00000000-0005-0000-0000-0000781E0000}"/>
    <cellStyle name="Normal 8 6 2 3 2" xfId="3591" xr:uid="{00000000-0005-0000-0000-0000791E0000}"/>
    <cellStyle name="Normal 8 6 2 3 2 2" xfId="7837" xr:uid="{00000000-0005-0000-0000-00007A1E0000}"/>
    <cellStyle name="Normal 8 6 2 3 3" xfId="5715" xr:uid="{00000000-0005-0000-0000-00007B1E0000}"/>
    <cellStyle name="Normal 8 6 2 4" xfId="2532" xr:uid="{00000000-0005-0000-0000-00007C1E0000}"/>
    <cellStyle name="Normal 8 6 2 4 2" xfId="6778" xr:uid="{00000000-0005-0000-0000-00007D1E0000}"/>
    <cellStyle name="Normal 8 6 2 5" xfId="4656" xr:uid="{00000000-0005-0000-0000-00007E1E0000}"/>
    <cellStyle name="Normal 8 6 3" xfId="676" xr:uid="{00000000-0005-0000-0000-00007F1E0000}"/>
    <cellStyle name="Normal 8 6 3 2" xfId="1735" xr:uid="{00000000-0005-0000-0000-0000801E0000}"/>
    <cellStyle name="Normal 8 6 3 2 2" xfId="3857" xr:uid="{00000000-0005-0000-0000-0000811E0000}"/>
    <cellStyle name="Normal 8 6 3 2 2 2" xfId="8103" xr:uid="{00000000-0005-0000-0000-0000821E0000}"/>
    <cellStyle name="Normal 8 6 3 2 3" xfId="5981" xr:uid="{00000000-0005-0000-0000-0000831E0000}"/>
    <cellStyle name="Normal 8 6 3 3" xfId="2798" xr:uid="{00000000-0005-0000-0000-0000841E0000}"/>
    <cellStyle name="Normal 8 6 3 3 2" xfId="7044" xr:uid="{00000000-0005-0000-0000-0000851E0000}"/>
    <cellStyle name="Normal 8 6 3 4" xfId="4922" xr:uid="{00000000-0005-0000-0000-0000861E0000}"/>
    <cellStyle name="Normal 8 6 4" xfId="1206" xr:uid="{00000000-0005-0000-0000-0000871E0000}"/>
    <cellStyle name="Normal 8 6 4 2" xfId="3328" xr:uid="{00000000-0005-0000-0000-0000881E0000}"/>
    <cellStyle name="Normal 8 6 4 2 2" xfId="7574" xr:uid="{00000000-0005-0000-0000-0000891E0000}"/>
    <cellStyle name="Normal 8 6 4 3" xfId="5452" xr:uid="{00000000-0005-0000-0000-00008A1E0000}"/>
    <cellStyle name="Normal 8 6 5" xfId="2269" xr:uid="{00000000-0005-0000-0000-00008B1E0000}"/>
    <cellStyle name="Normal 8 6 5 2" xfId="6515" xr:uid="{00000000-0005-0000-0000-00008C1E0000}"/>
    <cellStyle name="Normal 8 6 6" xfId="4393" xr:uid="{00000000-0005-0000-0000-00008D1E0000}"/>
    <cellStyle name="Normal 8 7" xfId="278" xr:uid="{00000000-0005-0000-0000-00008E1E0000}"/>
    <cellStyle name="Normal 8 7 2" xfId="808" xr:uid="{00000000-0005-0000-0000-00008F1E0000}"/>
    <cellStyle name="Normal 8 7 2 2" xfId="1867" xr:uid="{00000000-0005-0000-0000-0000901E0000}"/>
    <cellStyle name="Normal 8 7 2 2 2" xfId="3989" xr:uid="{00000000-0005-0000-0000-0000911E0000}"/>
    <cellStyle name="Normal 8 7 2 2 2 2" xfId="8235" xr:uid="{00000000-0005-0000-0000-0000921E0000}"/>
    <cellStyle name="Normal 8 7 2 2 3" xfId="6113" xr:uid="{00000000-0005-0000-0000-0000931E0000}"/>
    <cellStyle name="Normal 8 7 2 3" xfId="2930" xr:uid="{00000000-0005-0000-0000-0000941E0000}"/>
    <cellStyle name="Normal 8 7 2 3 2" xfId="7176" xr:uid="{00000000-0005-0000-0000-0000951E0000}"/>
    <cellStyle name="Normal 8 7 2 4" xfId="5054" xr:uid="{00000000-0005-0000-0000-0000961E0000}"/>
    <cellStyle name="Normal 8 7 3" xfId="1338" xr:uid="{00000000-0005-0000-0000-0000971E0000}"/>
    <cellStyle name="Normal 8 7 3 2" xfId="3460" xr:uid="{00000000-0005-0000-0000-0000981E0000}"/>
    <cellStyle name="Normal 8 7 3 2 2" xfId="7706" xr:uid="{00000000-0005-0000-0000-0000991E0000}"/>
    <cellStyle name="Normal 8 7 3 3" xfId="5584" xr:uid="{00000000-0005-0000-0000-00009A1E0000}"/>
    <cellStyle name="Normal 8 7 4" xfId="2401" xr:uid="{00000000-0005-0000-0000-00009B1E0000}"/>
    <cellStyle name="Normal 8 7 4 2" xfId="6647" xr:uid="{00000000-0005-0000-0000-00009C1E0000}"/>
    <cellStyle name="Normal 8 7 5" xfId="4525" xr:uid="{00000000-0005-0000-0000-00009D1E0000}"/>
    <cellStyle name="Normal 8 8" xfId="545" xr:uid="{00000000-0005-0000-0000-00009E1E0000}"/>
    <cellStyle name="Normal 8 8 2" xfId="1604" xr:uid="{00000000-0005-0000-0000-00009F1E0000}"/>
    <cellStyle name="Normal 8 8 2 2" xfId="3726" xr:uid="{00000000-0005-0000-0000-0000A01E0000}"/>
    <cellStyle name="Normal 8 8 2 2 2" xfId="7972" xr:uid="{00000000-0005-0000-0000-0000A11E0000}"/>
    <cellStyle name="Normal 8 8 2 3" xfId="5850" xr:uid="{00000000-0005-0000-0000-0000A21E0000}"/>
    <cellStyle name="Normal 8 8 3" xfId="2667" xr:uid="{00000000-0005-0000-0000-0000A31E0000}"/>
    <cellStyle name="Normal 8 8 3 2" xfId="6913" xr:uid="{00000000-0005-0000-0000-0000A41E0000}"/>
    <cellStyle name="Normal 8 8 4" xfId="4791" xr:uid="{00000000-0005-0000-0000-0000A51E0000}"/>
    <cellStyle name="Normal 8 9" xfId="1075" xr:uid="{00000000-0005-0000-0000-0000A61E0000}"/>
    <cellStyle name="Normal 8 9 2" xfId="3197" xr:uid="{00000000-0005-0000-0000-0000A71E0000}"/>
    <cellStyle name="Normal 8 9 2 2" xfId="7443" xr:uid="{00000000-0005-0000-0000-0000A81E0000}"/>
    <cellStyle name="Normal 8 9 3" xfId="5321" xr:uid="{00000000-0005-0000-0000-0000A91E0000}"/>
    <cellStyle name="Normal 9" xfId="8" xr:uid="{00000000-0005-0000-0000-0000AA1E0000}"/>
    <cellStyle name="Normal 9 10" xfId="2132" xr:uid="{00000000-0005-0000-0000-0000AB1E0000}"/>
    <cellStyle name="Normal 9 10 2" xfId="6378" xr:uid="{00000000-0005-0000-0000-0000AC1E0000}"/>
    <cellStyle name="Normal 9 11" xfId="4256" xr:uid="{00000000-0005-0000-0000-0000AD1E0000}"/>
    <cellStyle name="Normal 9 2" xfId="20" xr:uid="{00000000-0005-0000-0000-0000AE1E0000}"/>
    <cellStyle name="Normal 9 2 10" xfId="4268" xr:uid="{00000000-0005-0000-0000-0000AF1E0000}"/>
    <cellStyle name="Normal 9 2 2" xfId="41" xr:uid="{00000000-0005-0000-0000-0000B01E0000}"/>
    <cellStyle name="Normal 9 2 2 2" xfId="127" xr:uid="{00000000-0005-0000-0000-0000B11E0000}"/>
    <cellStyle name="Normal 9 2 2 2 2" xfId="258" xr:uid="{00000000-0005-0000-0000-0000B21E0000}"/>
    <cellStyle name="Normal 9 2 2 2 2 2" xfId="521" xr:uid="{00000000-0005-0000-0000-0000B31E0000}"/>
    <cellStyle name="Normal 9 2 2 2 2 2 2" xfId="1051" xr:uid="{00000000-0005-0000-0000-0000B41E0000}"/>
    <cellStyle name="Normal 9 2 2 2 2 2 2 2" xfId="2110" xr:uid="{00000000-0005-0000-0000-0000B51E0000}"/>
    <cellStyle name="Normal 9 2 2 2 2 2 2 2 2" xfId="4232" xr:uid="{00000000-0005-0000-0000-0000B61E0000}"/>
    <cellStyle name="Normal 9 2 2 2 2 2 2 2 2 2" xfId="8478" xr:uid="{00000000-0005-0000-0000-0000B71E0000}"/>
    <cellStyle name="Normal 9 2 2 2 2 2 2 2 3" xfId="6356" xr:uid="{00000000-0005-0000-0000-0000B81E0000}"/>
    <cellStyle name="Normal 9 2 2 2 2 2 2 3" xfId="3173" xr:uid="{00000000-0005-0000-0000-0000B91E0000}"/>
    <cellStyle name="Normal 9 2 2 2 2 2 2 3 2" xfId="7419" xr:uid="{00000000-0005-0000-0000-0000BA1E0000}"/>
    <cellStyle name="Normal 9 2 2 2 2 2 2 4" xfId="5297" xr:uid="{00000000-0005-0000-0000-0000BB1E0000}"/>
    <cellStyle name="Normal 9 2 2 2 2 2 3" xfId="1581" xr:uid="{00000000-0005-0000-0000-0000BC1E0000}"/>
    <cellStyle name="Normal 9 2 2 2 2 2 3 2" xfId="3703" xr:uid="{00000000-0005-0000-0000-0000BD1E0000}"/>
    <cellStyle name="Normal 9 2 2 2 2 2 3 2 2" xfId="7949" xr:uid="{00000000-0005-0000-0000-0000BE1E0000}"/>
    <cellStyle name="Normal 9 2 2 2 2 2 3 3" xfId="5827" xr:uid="{00000000-0005-0000-0000-0000BF1E0000}"/>
    <cellStyle name="Normal 9 2 2 2 2 2 4" xfId="2644" xr:uid="{00000000-0005-0000-0000-0000C01E0000}"/>
    <cellStyle name="Normal 9 2 2 2 2 2 4 2" xfId="6890" xr:uid="{00000000-0005-0000-0000-0000C11E0000}"/>
    <cellStyle name="Normal 9 2 2 2 2 2 5" xfId="4768" xr:uid="{00000000-0005-0000-0000-0000C21E0000}"/>
    <cellStyle name="Normal 9 2 2 2 2 3" xfId="788" xr:uid="{00000000-0005-0000-0000-0000C31E0000}"/>
    <cellStyle name="Normal 9 2 2 2 2 3 2" xfId="1847" xr:uid="{00000000-0005-0000-0000-0000C41E0000}"/>
    <cellStyle name="Normal 9 2 2 2 2 3 2 2" xfId="3969" xr:uid="{00000000-0005-0000-0000-0000C51E0000}"/>
    <cellStyle name="Normal 9 2 2 2 2 3 2 2 2" xfId="8215" xr:uid="{00000000-0005-0000-0000-0000C61E0000}"/>
    <cellStyle name="Normal 9 2 2 2 2 3 2 3" xfId="6093" xr:uid="{00000000-0005-0000-0000-0000C71E0000}"/>
    <cellStyle name="Normal 9 2 2 2 2 3 3" xfId="2910" xr:uid="{00000000-0005-0000-0000-0000C81E0000}"/>
    <cellStyle name="Normal 9 2 2 2 2 3 3 2" xfId="7156" xr:uid="{00000000-0005-0000-0000-0000C91E0000}"/>
    <cellStyle name="Normal 9 2 2 2 2 3 4" xfId="5034" xr:uid="{00000000-0005-0000-0000-0000CA1E0000}"/>
    <cellStyle name="Normal 9 2 2 2 2 4" xfId="1318" xr:uid="{00000000-0005-0000-0000-0000CB1E0000}"/>
    <cellStyle name="Normal 9 2 2 2 2 4 2" xfId="3440" xr:uid="{00000000-0005-0000-0000-0000CC1E0000}"/>
    <cellStyle name="Normal 9 2 2 2 2 4 2 2" xfId="7686" xr:uid="{00000000-0005-0000-0000-0000CD1E0000}"/>
    <cellStyle name="Normal 9 2 2 2 2 4 3" xfId="5564" xr:uid="{00000000-0005-0000-0000-0000CE1E0000}"/>
    <cellStyle name="Normal 9 2 2 2 2 5" xfId="2381" xr:uid="{00000000-0005-0000-0000-0000CF1E0000}"/>
    <cellStyle name="Normal 9 2 2 2 2 5 2" xfId="6627" xr:uid="{00000000-0005-0000-0000-0000D01E0000}"/>
    <cellStyle name="Normal 9 2 2 2 2 6" xfId="4505" xr:uid="{00000000-0005-0000-0000-0000D11E0000}"/>
    <cellStyle name="Normal 9 2 2 2 3" xfId="390" xr:uid="{00000000-0005-0000-0000-0000D21E0000}"/>
    <cellStyle name="Normal 9 2 2 2 3 2" xfId="920" xr:uid="{00000000-0005-0000-0000-0000D31E0000}"/>
    <cellStyle name="Normal 9 2 2 2 3 2 2" xfId="1979" xr:uid="{00000000-0005-0000-0000-0000D41E0000}"/>
    <cellStyle name="Normal 9 2 2 2 3 2 2 2" xfId="4101" xr:uid="{00000000-0005-0000-0000-0000D51E0000}"/>
    <cellStyle name="Normal 9 2 2 2 3 2 2 2 2" xfId="8347" xr:uid="{00000000-0005-0000-0000-0000D61E0000}"/>
    <cellStyle name="Normal 9 2 2 2 3 2 2 3" xfId="6225" xr:uid="{00000000-0005-0000-0000-0000D71E0000}"/>
    <cellStyle name="Normal 9 2 2 2 3 2 3" xfId="3042" xr:uid="{00000000-0005-0000-0000-0000D81E0000}"/>
    <cellStyle name="Normal 9 2 2 2 3 2 3 2" xfId="7288" xr:uid="{00000000-0005-0000-0000-0000D91E0000}"/>
    <cellStyle name="Normal 9 2 2 2 3 2 4" xfId="5166" xr:uid="{00000000-0005-0000-0000-0000DA1E0000}"/>
    <cellStyle name="Normal 9 2 2 2 3 3" xfId="1450" xr:uid="{00000000-0005-0000-0000-0000DB1E0000}"/>
    <cellStyle name="Normal 9 2 2 2 3 3 2" xfId="3572" xr:uid="{00000000-0005-0000-0000-0000DC1E0000}"/>
    <cellStyle name="Normal 9 2 2 2 3 3 2 2" xfId="7818" xr:uid="{00000000-0005-0000-0000-0000DD1E0000}"/>
    <cellStyle name="Normal 9 2 2 2 3 3 3" xfId="5696" xr:uid="{00000000-0005-0000-0000-0000DE1E0000}"/>
    <cellStyle name="Normal 9 2 2 2 3 4" xfId="2513" xr:uid="{00000000-0005-0000-0000-0000DF1E0000}"/>
    <cellStyle name="Normal 9 2 2 2 3 4 2" xfId="6759" xr:uid="{00000000-0005-0000-0000-0000E01E0000}"/>
    <cellStyle name="Normal 9 2 2 2 3 5" xfId="4637" xr:uid="{00000000-0005-0000-0000-0000E11E0000}"/>
    <cellStyle name="Normal 9 2 2 2 4" xfId="657" xr:uid="{00000000-0005-0000-0000-0000E21E0000}"/>
    <cellStyle name="Normal 9 2 2 2 4 2" xfId="1716" xr:uid="{00000000-0005-0000-0000-0000E31E0000}"/>
    <cellStyle name="Normal 9 2 2 2 4 2 2" xfId="3838" xr:uid="{00000000-0005-0000-0000-0000E41E0000}"/>
    <cellStyle name="Normal 9 2 2 2 4 2 2 2" xfId="8084" xr:uid="{00000000-0005-0000-0000-0000E51E0000}"/>
    <cellStyle name="Normal 9 2 2 2 4 2 3" xfId="5962" xr:uid="{00000000-0005-0000-0000-0000E61E0000}"/>
    <cellStyle name="Normal 9 2 2 2 4 3" xfId="2779" xr:uid="{00000000-0005-0000-0000-0000E71E0000}"/>
    <cellStyle name="Normal 9 2 2 2 4 3 2" xfId="7025" xr:uid="{00000000-0005-0000-0000-0000E81E0000}"/>
    <cellStyle name="Normal 9 2 2 2 4 4" xfId="4903" xr:uid="{00000000-0005-0000-0000-0000E91E0000}"/>
    <cellStyle name="Normal 9 2 2 2 5" xfId="1187" xr:uid="{00000000-0005-0000-0000-0000EA1E0000}"/>
    <cellStyle name="Normal 9 2 2 2 5 2" xfId="3309" xr:uid="{00000000-0005-0000-0000-0000EB1E0000}"/>
    <cellStyle name="Normal 9 2 2 2 5 2 2" xfId="7555" xr:uid="{00000000-0005-0000-0000-0000EC1E0000}"/>
    <cellStyle name="Normal 9 2 2 2 5 3" xfId="5433" xr:uid="{00000000-0005-0000-0000-0000ED1E0000}"/>
    <cellStyle name="Normal 9 2 2 2 6" xfId="2250" xr:uid="{00000000-0005-0000-0000-0000EE1E0000}"/>
    <cellStyle name="Normal 9 2 2 2 6 2" xfId="6496" xr:uid="{00000000-0005-0000-0000-0000EF1E0000}"/>
    <cellStyle name="Normal 9 2 2 2 7" xfId="4374" xr:uid="{00000000-0005-0000-0000-0000F01E0000}"/>
    <cellStyle name="Normal 9 2 2 3" xfId="84" xr:uid="{00000000-0005-0000-0000-0000F11E0000}"/>
    <cellStyle name="Normal 9 2 2 3 2" xfId="216" xr:uid="{00000000-0005-0000-0000-0000F21E0000}"/>
    <cellStyle name="Normal 9 2 2 3 2 2" xfId="479" xr:uid="{00000000-0005-0000-0000-0000F31E0000}"/>
    <cellStyle name="Normal 9 2 2 3 2 2 2" xfId="1009" xr:uid="{00000000-0005-0000-0000-0000F41E0000}"/>
    <cellStyle name="Normal 9 2 2 3 2 2 2 2" xfId="2068" xr:uid="{00000000-0005-0000-0000-0000F51E0000}"/>
    <cellStyle name="Normal 9 2 2 3 2 2 2 2 2" xfId="4190" xr:uid="{00000000-0005-0000-0000-0000F61E0000}"/>
    <cellStyle name="Normal 9 2 2 3 2 2 2 2 2 2" xfId="8436" xr:uid="{00000000-0005-0000-0000-0000F71E0000}"/>
    <cellStyle name="Normal 9 2 2 3 2 2 2 2 3" xfId="6314" xr:uid="{00000000-0005-0000-0000-0000F81E0000}"/>
    <cellStyle name="Normal 9 2 2 3 2 2 2 3" xfId="3131" xr:uid="{00000000-0005-0000-0000-0000F91E0000}"/>
    <cellStyle name="Normal 9 2 2 3 2 2 2 3 2" xfId="7377" xr:uid="{00000000-0005-0000-0000-0000FA1E0000}"/>
    <cellStyle name="Normal 9 2 2 3 2 2 2 4" xfId="5255" xr:uid="{00000000-0005-0000-0000-0000FB1E0000}"/>
    <cellStyle name="Normal 9 2 2 3 2 2 3" xfId="1539" xr:uid="{00000000-0005-0000-0000-0000FC1E0000}"/>
    <cellStyle name="Normal 9 2 2 3 2 2 3 2" xfId="3661" xr:uid="{00000000-0005-0000-0000-0000FD1E0000}"/>
    <cellStyle name="Normal 9 2 2 3 2 2 3 2 2" xfId="7907" xr:uid="{00000000-0005-0000-0000-0000FE1E0000}"/>
    <cellStyle name="Normal 9 2 2 3 2 2 3 3" xfId="5785" xr:uid="{00000000-0005-0000-0000-0000FF1E0000}"/>
    <cellStyle name="Normal 9 2 2 3 2 2 4" xfId="2602" xr:uid="{00000000-0005-0000-0000-0000001F0000}"/>
    <cellStyle name="Normal 9 2 2 3 2 2 4 2" xfId="6848" xr:uid="{00000000-0005-0000-0000-0000011F0000}"/>
    <cellStyle name="Normal 9 2 2 3 2 2 5" xfId="4726" xr:uid="{00000000-0005-0000-0000-0000021F0000}"/>
    <cellStyle name="Normal 9 2 2 3 2 3" xfId="746" xr:uid="{00000000-0005-0000-0000-0000031F0000}"/>
    <cellStyle name="Normal 9 2 2 3 2 3 2" xfId="1805" xr:uid="{00000000-0005-0000-0000-0000041F0000}"/>
    <cellStyle name="Normal 9 2 2 3 2 3 2 2" xfId="3927" xr:uid="{00000000-0005-0000-0000-0000051F0000}"/>
    <cellStyle name="Normal 9 2 2 3 2 3 2 2 2" xfId="8173" xr:uid="{00000000-0005-0000-0000-0000061F0000}"/>
    <cellStyle name="Normal 9 2 2 3 2 3 2 3" xfId="6051" xr:uid="{00000000-0005-0000-0000-0000071F0000}"/>
    <cellStyle name="Normal 9 2 2 3 2 3 3" xfId="2868" xr:uid="{00000000-0005-0000-0000-0000081F0000}"/>
    <cellStyle name="Normal 9 2 2 3 2 3 3 2" xfId="7114" xr:uid="{00000000-0005-0000-0000-0000091F0000}"/>
    <cellStyle name="Normal 9 2 2 3 2 3 4" xfId="4992" xr:uid="{00000000-0005-0000-0000-00000A1F0000}"/>
    <cellStyle name="Normal 9 2 2 3 2 4" xfId="1276" xr:uid="{00000000-0005-0000-0000-00000B1F0000}"/>
    <cellStyle name="Normal 9 2 2 3 2 4 2" xfId="3398" xr:uid="{00000000-0005-0000-0000-00000C1F0000}"/>
    <cellStyle name="Normal 9 2 2 3 2 4 2 2" xfId="7644" xr:uid="{00000000-0005-0000-0000-00000D1F0000}"/>
    <cellStyle name="Normal 9 2 2 3 2 4 3" xfId="5522" xr:uid="{00000000-0005-0000-0000-00000E1F0000}"/>
    <cellStyle name="Normal 9 2 2 3 2 5" xfId="2339" xr:uid="{00000000-0005-0000-0000-00000F1F0000}"/>
    <cellStyle name="Normal 9 2 2 3 2 5 2" xfId="6585" xr:uid="{00000000-0005-0000-0000-0000101F0000}"/>
    <cellStyle name="Normal 9 2 2 3 2 6" xfId="4463" xr:uid="{00000000-0005-0000-0000-0000111F0000}"/>
    <cellStyle name="Normal 9 2 2 3 3" xfId="348" xr:uid="{00000000-0005-0000-0000-0000121F0000}"/>
    <cellStyle name="Normal 9 2 2 3 3 2" xfId="878" xr:uid="{00000000-0005-0000-0000-0000131F0000}"/>
    <cellStyle name="Normal 9 2 2 3 3 2 2" xfId="1937" xr:uid="{00000000-0005-0000-0000-0000141F0000}"/>
    <cellStyle name="Normal 9 2 2 3 3 2 2 2" xfId="4059" xr:uid="{00000000-0005-0000-0000-0000151F0000}"/>
    <cellStyle name="Normal 9 2 2 3 3 2 2 2 2" xfId="8305" xr:uid="{00000000-0005-0000-0000-0000161F0000}"/>
    <cellStyle name="Normal 9 2 2 3 3 2 2 3" xfId="6183" xr:uid="{00000000-0005-0000-0000-0000171F0000}"/>
    <cellStyle name="Normal 9 2 2 3 3 2 3" xfId="3000" xr:uid="{00000000-0005-0000-0000-0000181F0000}"/>
    <cellStyle name="Normal 9 2 2 3 3 2 3 2" xfId="7246" xr:uid="{00000000-0005-0000-0000-0000191F0000}"/>
    <cellStyle name="Normal 9 2 2 3 3 2 4" xfId="5124" xr:uid="{00000000-0005-0000-0000-00001A1F0000}"/>
    <cellStyle name="Normal 9 2 2 3 3 3" xfId="1408" xr:uid="{00000000-0005-0000-0000-00001B1F0000}"/>
    <cellStyle name="Normal 9 2 2 3 3 3 2" xfId="3530" xr:uid="{00000000-0005-0000-0000-00001C1F0000}"/>
    <cellStyle name="Normal 9 2 2 3 3 3 2 2" xfId="7776" xr:uid="{00000000-0005-0000-0000-00001D1F0000}"/>
    <cellStyle name="Normal 9 2 2 3 3 3 3" xfId="5654" xr:uid="{00000000-0005-0000-0000-00001E1F0000}"/>
    <cellStyle name="Normal 9 2 2 3 3 4" xfId="2471" xr:uid="{00000000-0005-0000-0000-00001F1F0000}"/>
    <cellStyle name="Normal 9 2 2 3 3 4 2" xfId="6717" xr:uid="{00000000-0005-0000-0000-0000201F0000}"/>
    <cellStyle name="Normal 9 2 2 3 3 5" xfId="4595" xr:uid="{00000000-0005-0000-0000-0000211F0000}"/>
    <cellStyle name="Normal 9 2 2 3 4" xfId="615" xr:uid="{00000000-0005-0000-0000-0000221F0000}"/>
    <cellStyle name="Normal 9 2 2 3 4 2" xfId="1674" xr:uid="{00000000-0005-0000-0000-0000231F0000}"/>
    <cellStyle name="Normal 9 2 2 3 4 2 2" xfId="3796" xr:uid="{00000000-0005-0000-0000-0000241F0000}"/>
    <cellStyle name="Normal 9 2 2 3 4 2 2 2" xfId="8042" xr:uid="{00000000-0005-0000-0000-0000251F0000}"/>
    <cellStyle name="Normal 9 2 2 3 4 2 3" xfId="5920" xr:uid="{00000000-0005-0000-0000-0000261F0000}"/>
    <cellStyle name="Normal 9 2 2 3 4 3" xfId="2737" xr:uid="{00000000-0005-0000-0000-0000271F0000}"/>
    <cellStyle name="Normal 9 2 2 3 4 3 2" xfId="6983" xr:uid="{00000000-0005-0000-0000-0000281F0000}"/>
    <cellStyle name="Normal 9 2 2 3 4 4" xfId="4861" xr:uid="{00000000-0005-0000-0000-0000291F0000}"/>
    <cellStyle name="Normal 9 2 2 3 5" xfId="1145" xr:uid="{00000000-0005-0000-0000-00002A1F0000}"/>
    <cellStyle name="Normal 9 2 2 3 5 2" xfId="3267" xr:uid="{00000000-0005-0000-0000-00002B1F0000}"/>
    <cellStyle name="Normal 9 2 2 3 5 2 2" xfId="7513" xr:uid="{00000000-0005-0000-0000-00002C1F0000}"/>
    <cellStyle name="Normal 9 2 2 3 5 3" xfId="5391" xr:uid="{00000000-0005-0000-0000-00002D1F0000}"/>
    <cellStyle name="Normal 9 2 2 3 6" xfId="2208" xr:uid="{00000000-0005-0000-0000-00002E1F0000}"/>
    <cellStyle name="Normal 9 2 2 3 6 2" xfId="6454" xr:uid="{00000000-0005-0000-0000-00002F1F0000}"/>
    <cellStyle name="Normal 9 2 2 3 7" xfId="4332" xr:uid="{00000000-0005-0000-0000-0000301F0000}"/>
    <cellStyle name="Normal 9 2 2 4" xfId="173" xr:uid="{00000000-0005-0000-0000-0000311F0000}"/>
    <cellStyle name="Normal 9 2 2 4 2" xfId="436" xr:uid="{00000000-0005-0000-0000-0000321F0000}"/>
    <cellStyle name="Normal 9 2 2 4 2 2" xfId="966" xr:uid="{00000000-0005-0000-0000-0000331F0000}"/>
    <cellStyle name="Normal 9 2 2 4 2 2 2" xfId="2025" xr:uid="{00000000-0005-0000-0000-0000341F0000}"/>
    <cellStyle name="Normal 9 2 2 4 2 2 2 2" xfId="4147" xr:uid="{00000000-0005-0000-0000-0000351F0000}"/>
    <cellStyle name="Normal 9 2 2 4 2 2 2 2 2" xfId="8393" xr:uid="{00000000-0005-0000-0000-0000361F0000}"/>
    <cellStyle name="Normal 9 2 2 4 2 2 2 3" xfId="6271" xr:uid="{00000000-0005-0000-0000-0000371F0000}"/>
    <cellStyle name="Normal 9 2 2 4 2 2 3" xfId="3088" xr:uid="{00000000-0005-0000-0000-0000381F0000}"/>
    <cellStyle name="Normal 9 2 2 4 2 2 3 2" xfId="7334" xr:uid="{00000000-0005-0000-0000-0000391F0000}"/>
    <cellStyle name="Normal 9 2 2 4 2 2 4" xfId="5212" xr:uid="{00000000-0005-0000-0000-00003A1F0000}"/>
    <cellStyle name="Normal 9 2 2 4 2 3" xfId="1496" xr:uid="{00000000-0005-0000-0000-00003B1F0000}"/>
    <cellStyle name="Normal 9 2 2 4 2 3 2" xfId="3618" xr:uid="{00000000-0005-0000-0000-00003C1F0000}"/>
    <cellStyle name="Normal 9 2 2 4 2 3 2 2" xfId="7864" xr:uid="{00000000-0005-0000-0000-00003D1F0000}"/>
    <cellStyle name="Normal 9 2 2 4 2 3 3" xfId="5742" xr:uid="{00000000-0005-0000-0000-00003E1F0000}"/>
    <cellStyle name="Normal 9 2 2 4 2 4" xfId="2559" xr:uid="{00000000-0005-0000-0000-00003F1F0000}"/>
    <cellStyle name="Normal 9 2 2 4 2 4 2" xfId="6805" xr:uid="{00000000-0005-0000-0000-0000401F0000}"/>
    <cellStyle name="Normal 9 2 2 4 2 5" xfId="4683" xr:uid="{00000000-0005-0000-0000-0000411F0000}"/>
    <cellStyle name="Normal 9 2 2 4 3" xfId="703" xr:uid="{00000000-0005-0000-0000-0000421F0000}"/>
    <cellStyle name="Normal 9 2 2 4 3 2" xfId="1762" xr:uid="{00000000-0005-0000-0000-0000431F0000}"/>
    <cellStyle name="Normal 9 2 2 4 3 2 2" xfId="3884" xr:uid="{00000000-0005-0000-0000-0000441F0000}"/>
    <cellStyle name="Normal 9 2 2 4 3 2 2 2" xfId="8130" xr:uid="{00000000-0005-0000-0000-0000451F0000}"/>
    <cellStyle name="Normal 9 2 2 4 3 2 3" xfId="6008" xr:uid="{00000000-0005-0000-0000-0000461F0000}"/>
    <cellStyle name="Normal 9 2 2 4 3 3" xfId="2825" xr:uid="{00000000-0005-0000-0000-0000471F0000}"/>
    <cellStyle name="Normal 9 2 2 4 3 3 2" xfId="7071" xr:uid="{00000000-0005-0000-0000-0000481F0000}"/>
    <cellStyle name="Normal 9 2 2 4 3 4" xfId="4949" xr:uid="{00000000-0005-0000-0000-0000491F0000}"/>
    <cellStyle name="Normal 9 2 2 4 4" xfId="1233" xr:uid="{00000000-0005-0000-0000-00004A1F0000}"/>
    <cellStyle name="Normal 9 2 2 4 4 2" xfId="3355" xr:uid="{00000000-0005-0000-0000-00004B1F0000}"/>
    <cellStyle name="Normal 9 2 2 4 4 2 2" xfId="7601" xr:uid="{00000000-0005-0000-0000-00004C1F0000}"/>
    <cellStyle name="Normal 9 2 2 4 4 3" xfId="5479" xr:uid="{00000000-0005-0000-0000-00004D1F0000}"/>
    <cellStyle name="Normal 9 2 2 4 5" xfId="2296" xr:uid="{00000000-0005-0000-0000-00004E1F0000}"/>
    <cellStyle name="Normal 9 2 2 4 5 2" xfId="6542" xr:uid="{00000000-0005-0000-0000-00004F1F0000}"/>
    <cellStyle name="Normal 9 2 2 4 6" xfId="4420" xr:uid="{00000000-0005-0000-0000-0000501F0000}"/>
    <cellStyle name="Normal 9 2 2 5" xfId="305" xr:uid="{00000000-0005-0000-0000-0000511F0000}"/>
    <cellStyle name="Normal 9 2 2 5 2" xfId="835" xr:uid="{00000000-0005-0000-0000-0000521F0000}"/>
    <cellStyle name="Normal 9 2 2 5 2 2" xfId="1894" xr:uid="{00000000-0005-0000-0000-0000531F0000}"/>
    <cellStyle name="Normal 9 2 2 5 2 2 2" xfId="4016" xr:uid="{00000000-0005-0000-0000-0000541F0000}"/>
    <cellStyle name="Normal 9 2 2 5 2 2 2 2" xfId="8262" xr:uid="{00000000-0005-0000-0000-0000551F0000}"/>
    <cellStyle name="Normal 9 2 2 5 2 2 3" xfId="6140" xr:uid="{00000000-0005-0000-0000-0000561F0000}"/>
    <cellStyle name="Normal 9 2 2 5 2 3" xfId="2957" xr:uid="{00000000-0005-0000-0000-0000571F0000}"/>
    <cellStyle name="Normal 9 2 2 5 2 3 2" xfId="7203" xr:uid="{00000000-0005-0000-0000-0000581F0000}"/>
    <cellStyle name="Normal 9 2 2 5 2 4" xfId="5081" xr:uid="{00000000-0005-0000-0000-0000591F0000}"/>
    <cellStyle name="Normal 9 2 2 5 3" xfId="1365" xr:uid="{00000000-0005-0000-0000-00005A1F0000}"/>
    <cellStyle name="Normal 9 2 2 5 3 2" xfId="3487" xr:uid="{00000000-0005-0000-0000-00005B1F0000}"/>
    <cellStyle name="Normal 9 2 2 5 3 2 2" xfId="7733" xr:uid="{00000000-0005-0000-0000-00005C1F0000}"/>
    <cellStyle name="Normal 9 2 2 5 3 3" xfId="5611" xr:uid="{00000000-0005-0000-0000-00005D1F0000}"/>
    <cellStyle name="Normal 9 2 2 5 4" xfId="2428" xr:uid="{00000000-0005-0000-0000-00005E1F0000}"/>
    <cellStyle name="Normal 9 2 2 5 4 2" xfId="6674" xr:uid="{00000000-0005-0000-0000-00005F1F0000}"/>
    <cellStyle name="Normal 9 2 2 5 5" xfId="4552" xr:uid="{00000000-0005-0000-0000-0000601F0000}"/>
    <cellStyle name="Normal 9 2 2 6" xfId="572" xr:uid="{00000000-0005-0000-0000-0000611F0000}"/>
    <cellStyle name="Normal 9 2 2 6 2" xfId="1631" xr:uid="{00000000-0005-0000-0000-0000621F0000}"/>
    <cellStyle name="Normal 9 2 2 6 2 2" xfId="3753" xr:uid="{00000000-0005-0000-0000-0000631F0000}"/>
    <cellStyle name="Normal 9 2 2 6 2 2 2" xfId="7999" xr:uid="{00000000-0005-0000-0000-0000641F0000}"/>
    <cellStyle name="Normal 9 2 2 6 2 3" xfId="5877" xr:uid="{00000000-0005-0000-0000-0000651F0000}"/>
    <cellStyle name="Normal 9 2 2 6 3" xfId="2694" xr:uid="{00000000-0005-0000-0000-0000661F0000}"/>
    <cellStyle name="Normal 9 2 2 6 3 2" xfId="6940" xr:uid="{00000000-0005-0000-0000-0000671F0000}"/>
    <cellStyle name="Normal 9 2 2 6 4" xfId="4818" xr:uid="{00000000-0005-0000-0000-0000681F0000}"/>
    <cellStyle name="Normal 9 2 2 7" xfId="1102" xr:uid="{00000000-0005-0000-0000-0000691F0000}"/>
    <cellStyle name="Normal 9 2 2 7 2" xfId="3224" xr:uid="{00000000-0005-0000-0000-00006A1F0000}"/>
    <cellStyle name="Normal 9 2 2 7 2 2" xfId="7470" xr:uid="{00000000-0005-0000-0000-00006B1F0000}"/>
    <cellStyle name="Normal 9 2 2 7 3" xfId="5348" xr:uid="{00000000-0005-0000-0000-00006C1F0000}"/>
    <cellStyle name="Normal 9 2 2 8" xfId="2165" xr:uid="{00000000-0005-0000-0000-00006D1F0000}"/>
    <cellStyle name="Normal 9 2 2 8 2" xfId="6411" xr:uid="{00000000-0005-0000-0000-00006E1F0000}"/>
    <cellStyle name="Normal 9 2 2 9" xfId="4289" xr:uid="{00000000-0005-0000-0000-00006F1F0000}"/>
    <cellStyle name="Normal 9 2 3" xfId="106" xr:uid="{00000000-0005-0000-0000-0000701F0000}"/>
    <cellStyle name="Normal 9 2 3 2" xfId="237" xr:uid="{00000000-0005-0000-0000-0000711F0000}"/>
    <cellStyle name="Normal 9 2 3 2 2" xfId="500" xr:uid="{00000000-0005-0000-0000-0000721F0000}"/>
    <cellStyle name="Normal 9 2 3 2 2 2" xfId="1030" xr:uid="{00000000-0005-0000-0000-0000731F0000}"/>
    <cellStyle name="Normal 9 2 3 2 2 2 2" xfId="2089" xr:uid="{00000000-0005-0000-0000-0000741F0000}"/>
    <cellStyle name="Normal 9 2 3 2 2 2 2 2" xfId="4211" xr:uid="{00000000-0005-0000-0000-0000751F0000}"/>
    <cellStyle name="Normal 9 2 3 2 2 2 2 2 2" xfId="8457" xr:uid="{00000000-0005-0000-0000-0000761F0000}"/>
    <cellStyle name="Normal 9 2 3 2 2 2 2 3" xfId="6335" xr:uid="{00000000-0005-0000-0000-0000771F0000}"/>
    <cellStyle name="Normal 9 2 3 2 2 2 3" xfId="3152" xr:uid="{00000000-0005-0000-0000-0000781F0000}"/>
    <cellStyle name="Normal 9 2 3 2 2 2 3 2" xfId="7398" xr:uid="{00000000-0005-0000-0000-0000791F0000}"/>
    <cellStyle name="Normal 9 2 3 2 2 2 4" xfId="5276" xr:uid="{00000000-0005-0000-0000-00007A1F0000}"/>
    <cellStyle name="Normal 9 2 3 2 2 3" xfId="1560" xr:uid="{00000000-0005-0000-0000-00007B1F0000}"/>
    <cellStyle name="Normal 9 2 3 2 2 3 2" xfId="3682" xr:uid="{00000000-0005-0000-0000-00007C1F0000}"/>
    <cellStyle name="Normal 9 2 3 2 2 3 2 2" xfId="7928" xr:uid="{00000000-0005-0000-0000-00007D1F0000}"/>
    <cellStyle name="Normal 9 2 3 2 2 3 3" xfId="5806" xr:uid="{00000000-0005-0000-0000-00007E1F0000}"/>
    <cellStyle name="Normal 9 2 3 2 2 4" xfId="2623" xr:uid="{00000000-0005-0000-0000-00007F1F0000}"/>
    <cellStyle name="Normal 9 2 3 2 2 4 2" xfId="6869" xr:uid="{00000000-0005-0000-0000-0000801F0000}"/>
    <cellStyle name="Normal 9 2 3 2 2 5" xfId="4747" xr:uid="{00000000-0005-0000-0000-0000811F0000}"/>
    <cellStyle name="Normal 9 2 3 2 3" xfId="767" xr:uid="{00000000-0005-0000-0000-0000821F0000}"/>
    <cellStyle name="Normal 9 2 3 2 3 2" xfId="1826" xr:uid="{00000000-0005-0000-0000-0000831F0000}"/>
    <cellStyle name="Normal 9 2 3 2 3 2 2" xfId="3948" xr:uid="{00000000-0005-0000-0000-0000841F0000}"/>
    <cellStyle name="Normal 9 2 3 2 3 2 2 2" xfId="8194" xr:uid="{00000000-0005-0000-0000-0000851F0000}"/>
    <cellStyle name="Normal 9 2 3 2 3 2 3" xfId="6072" xr:uid="{00000000-0005-0000-0000-0000861F0000}"/>
    <cellStyle name="Normal 9 2 3 2 3 3" xfId="2889" xr:uid="{00000000-0005-0000-0000-0000871F0000}"/>
    <cellStyle name="Normal 9 2 3 2 3 3 2" xfId="7135" xr:uid="{00000000-0005-0000-0000-0000881F0000}"/>
    <cellStyle name="Normal 9 2 3 2 3 4" xfId="5013" xr:uid="{00000000-0005-0000-0000-0000891F0000}"/>
    <cellStyle name="Normal 9 2 3 2 4" xfId="1297" xr:uid="{00000000-0005-0000-0000-00008A1F0000}"/>
    <cellStyle name="Normal 9 2 3 2 4 2" xfId="3419" xr:uid="{00000000-0005-0000-0000-00008B1F0000}"/>
    <cellStyle name="Normal 9 2 3 2 4 2 2" xfId="7665" xr:uid="{00000000-0005-0000-0000-00008C1F0000}"/>
    <cellStyle name="Normal 9 2 3 2 4 3" xfId="5543" xr:uid="{00000000-0005-0000-0000-00008D1F0000}"/>
    <cellStyle name="Normal 9 2 3 2 5" xfId="2360" xr:uid="{00000000-0005-0000-0000-00008E1F0000}"/>
    <cellStyle name="Normal 9 2 3 2 5 2" xfId="6606" xr:uid="{00000000-0005-0000-0000-00008F1F0000}"/>
    <cellStyle name="Normal 9 2 3 2 6" xfId="4484" xr:uid="{00000000-0005-0000-0000-0000901F0000}"/>
    <cellStyle name="Normal 9 2 3 3" xfId="369" xr:uid="{00000000-0005-0000-0000-0000911F0000}"/>
    <cellStyle name="Normal 9 2 3 3 2" xfId="899" xr:uid="{00000000-0005-0000-0000-0000921F0000}"/>
    <cellStyle name="Normal 9 2 3 3 2 2" xfId="1958" xr:uid="{00000000-0005-0000-0000-0000931F0000}"/>
    <cellStyle name="Normal 9 2 3 3 2 2 2" xfId="4080" xr:uid="{00000000-0005-0000-0000-0000941F0000}"/>
    <cellStyle name="Normal 9 2 3 3 2 2 2 2" xfId="8326" xr:uid="{00000000-0005-0000-0000-0000951F0000}"/>
    <cellStyle name="Normal 9 2 3 3 2 2 3" xfId="6204" xr:uid="{00000000-0005-0000-0000-0000961F0000}"/>
    <cellStyle name="Normal 9 2 3 3 2 3" xfId="3021" xr:uid="{00000000-0005-0000-0000-0000971F0000}"/>
    <cellStyle name="Normal 9 2 3 3 2 3 2" xfId="7267" xr:uid="{00000000-0005-0000-0000-0000981F0000}"/>
    <cellStyle name="Normal 9 2 3 3 2 4" xfId="5145" xr:uid="{00000000-0005-0000-0000-0000991F0000}"/>
    <cellStyle name="Normal 9 2 3 3 3" xfId="1429" xr:uid="{00000000-0005-0000-0000-00009A1F0000}"/>
    <cellStyle name="Normal 9 2 3 3 3 2" xfId="3551" xr:uid="{00000000-0005-0000-0000-00009B1F0000}"/>
    <cellStyle name="Normal 9 2 3 3 3 2 2" xfId="7797" xr:uid="{00000000-0005-0000-0000-00009C1F0000}"/>
    <cellStyle name="Normal 9 2 3 3 3 3" xfId="5675" xr:uid="{00000000-0005-0000-0000-00009D1F0000}"/>
    <cellStyle name="Normal 9 2 3 3 4" xfId="2492" xr:uid="{00000000-0005-0000-0000-00009E1F0000}"/>
    <cellStyle name="Normal 9 2 3 3 4 2" xfId="6738" xr:uid="{00000000-0005-0000-0000-00009F1F0000}"/>
    <cellStyle name="Normal 9 2 3 3 5" xfId="4616" xr:uid="{00000000-0005-0000-0000-0000A01F0000}"/>
    <cellStyle name="Normal 9 2 3 4" xfId="636" xr:uid="{00000000-0005-0000-0000-0000A11F0000}"/>
    <cellStyle name="Normal 9 2 3 4 2" xfId="1695" xr:uid="{00000000-0005-0000-0000-0000A21F0000}"/>
    <cellStyle name="Normal 9 2 3 4 2 2" xfId="3817" xr:uid="{00000000-0005-0000-0000-0000A31F0000}"/>
    <cellStyle name="Normal 9 2 3 4 2 2 2" xfId="8063" xr:uid="{00000000-0005-0000-0000-0000A41F0000}"/>
    <cellStyle name="Normal 9 2 3 4 2 3" xfId="5941" xr:uid="{00000000-0005-0000-0000-0000A51F0000}"/>
    <cellStyle name="Normal 9 2 3 4 3" xfId="2758" xr:uid="{00000000-0005-0000-0000-0000A61F0000}"/>
    <cellStyle name="Normal 9 2 3 4 3 2" xfId="7004" xr:uid="{00000000-0005-0000-0000-0000A71F0000}"/>
    <cellStyle name="Normal 9 2 3 4 4" xfId="4882" xr:uid="{00000000-0005-0000-0000-0000A81F0000}"/>
    <cellStyle name="Normal 9 2 3 5" xfId="1166" xr:uid="{00000000-0005-0000-0000-0000A91F0000}"/>
    <cellStyle name="Normal 9 2 3 5 2" xfId="3288" xr:uid="{00000000-0005-0000-0000-0000AA1F0000}"/>
    <cellStyle name="Normal 9 2 3 5 2 2" xfId="7534" xr:uid="{00000000-0005-0000-0000-0000AB1F0000}"/>
    <cellStyle name="Normal 9 2 3 5 3" xfId="5412" xr:uid="{00000000-0005-0000-0000-0000AC1F0000}"/>
    <cellStyle name="Normal 9 2 3 6" xfId="2229" xr:uid="{00000000-0005-0000-0000-0000AD1F0000}"/>
    <cellStyle name="Normal 9 2 3 6 2" xfId="6475" xr:uid="{00000000-0005-0000-0000-0000AE1F0000}"/>
    <cellStyle name="Normal 9 2 3 7" xfId="4353" xr:uid="{00000000-0005-0000-0000-0000AF1F0000}"/>
    <cellStyle name="Normal 9 2 4" xfId="63" xr:uid="{00000000-0005-0000-0000-0000B01F0000}"/>
    <cellStyle name="Normal 9 2 4 2" xfId="195" xr:uid="{00000000-0005-0000-0000-0000B11F0000}"/>
    <cellStyle name="Normal 9 2 4 2 2" xfId="458" xr:uid="{00000000-0005-0000-0000-0000B21F0000}"/>
    <cellStyle name="Normal 9 2 4 2 2 2" xfId="988" xr:uid="{00000000-0005-0000-0000-0000B31F0000}"/>
    <cellStyle name="Normal 9 2 4 2 2 2 2" xfId="2047" xr:uid="{00000000-0005-0000-0000-0000B41F0000}"/>
    <cellStyle name="Normal 9 2 4 2 2 2 2 2" xfId="4169" xr:uid="{00000000-0005-0000-0000-0000B51F0000}"/>
    <cellStyle name="Normal 9 2 4 2 2 2 2 2 2" xfId="8415" xr:uid="{00000000-0005-0000-0000-0000B61F0000}"/>
    <cellStyle name="Normal 9 2 4 2 2 2 2 3" xfId="6293" xr:uid="{00000000-0005-0000-0000-0000B71F0000}"/>
    <cellStyle name="Normal 9 2 4 2 2 2 3" xfId="3110" xr:uid="{00000000-0005-0000-0000-0000B81F0000}"/>
    <cellStyle name="Normal 9 2 4 2 2 2 3 2" xfId="7356" xr:uid="{00000000-0005-0000-0000-0000B91F0000}"/>
    <cellStyle name="Normal 9 2 4 2 2 2 4" xfId="5234" xr:uid="{00000000-0005-0000-0000-0000BA1F0000}"/>
    <cellStyle name="Normal 9 2 4 2 2 3" xfId="1518" xr:uid="{00000000-0005-0000-0000-0000BB1F0000}"/>
    <cellStyle name="Normal 9 2 4 2 2 3 2" xfId="3640" xr:uid="{00000000-0005-0000-0000-0000BC1F0000}"/>
    <cellStyle name="Normal 9 2 4 2 2 3 2 2" xfId="7886" xr:uid="{00000000-0005-0000-0000-0000BD1F0000}"/>
    <cellStyle name="Normal 9 2 4 2 2 3 3" xfId="5764" xr:uid="{00000000-0005-0000-0000-0000BE1F0000}"/>
    <cellStyle name="Normal 9 2 4 2 2 4" xfId="2581" xr:uid="{00000000-0005-0000-0000-0000BF1F0000}"/>
    <cellStyle name="Normal 9 2 4 2 2 4 2" xfId="6827" xr:uid="{00000000-0005-0000-0000-0000C01F0000}"/>
    <cellStyle name="Normal 9 2 4 2 2 5" xfId="4705" xr:uid="{00000000-0005-0000-0000-0000C11F0000}"/>
    <cellStyle name="Normal 9 2 4 2 3" xfId="725" xr:uid="{00000000-0005-0000-0000-0000C21F0000}"/>
    <cellStyle name="Normal 9 2 4 2 3 2" xfId="1784" xr:uid="{00000000-0005-0000-0000-0000C31F0000}"/>
    <cellStyle name="Normal 9 2 4 2 3 2 2" xfId="3906" xr:uid="{00000000-0005-0000-0000-0000C41F0000}"/>
    <cellStyle name="Normal 9 2 4 2 3 2 2 2" xfId="8152" xr:uid="{00000000-0005-0000-0000-0000C51F0000}"/>
    <cellStyle name="Normal 9 2 4 2 3 2 3" xfId="6030" xr:uid="{00000000-0005-0000-0000-0000C61F0000}"/>
    <cellStyle name="Normal 9 2 4 2 3 3" xfId="2847" xr:uid="{00000000-0005-0000-0000-0000C71F0000}"/>
    <cellStyle name="Normal 9 2 4 2 3 3 2" xfId="7093" xr:uid="{00000000-0005-0000-0000-0000C81F0000}"/>
    <cellStyle name="Normal 9 2 4 2 3 4" xfId="4971" xr:uid="{00000000-0005-0000-0000-0000C91F0000}"/>
    <cellStyle name="Normal 9 2 4 2 4" xfId="1255" xr:uid="{00000000-0005-0000-0000-0000CA1F0000}"/>
    <cellStyle name="Normal 9 2 4 2 4 2" xfId="3377" xr:uid="{00000000-0005-0000-0000-0000CB1F0000}"/>
    <cellStyle name="Normal 9 2 4 2 4 2 2" xfId="7623" xr:uid="{00000000-0005-0000-0000-0000CC1F0000}"/>
    <cellStyle name="Normal 9 2 4 2 4 3" xfId="5501" xr:uid="{00000000-0005-0000-0000-0000CD1F0000}"/>
    <cellStyle name="Normal 9 2 4 2 5" xfId="2318" xr:uid="{00000000-0005-0000-0000-0000CE1F0000}"/>
    <cellStyle name="Normal 9 2 4 2 5 2" xfId="6564" xr:uid="{00000000-0005-0000-0000-0000CF1F0000}"/>
    <cellStyle name="Normal 9 2 4 2 6" xfId="4442" xr:uid="{00000000-0005-0000-0000-0000D01F0000}"/>
    <cellStyle name="Normal 9 2 4 3" xfId="327" xr:uid="{00000000-0005-0000-0000-0000D11F0000}"/>
    <cellStyle name="Normal 9 2 4 3 2" xfId="857" xr:uid="{00000000-0005-0000-0000-0000D21F0000}"/>
    <cellStyle name="Normal 9 2 4 3 2 2" xfId="1916" xr:uid="{00000000-0005-0000-0000-0000D31F0000}"/>
    <cellStyle name="Normal 9 2 4 3 2 2 2" xfId="4038" xr:uid="{00000000-0005-0000-0000-0000D41F0000}"/>
    <cellStyle name="Normal 9 2 4 3 2 2 2 2" xfId="8284" xr:uid="{00000000-0005-0000-0000-0000D51F0000}"/>
    <cellStyle name="Normal 9 2 4 3 2 2 3" xfId="6162" xr:uid="{00000000-0005-0000-0000-0000D61F0000}"/>
    <cellStyle name="Normal 9 2 4 3 2 3" xfId="2979" xr:uid="{00000000-0005-0000-0000-0000D71F0000}"/>
    <cellStyle name="Normal 9 2 4 3 2 3 2" xfId="7225" xr:uid="{00000000-0005-0000-0000-0000D81F0000}"/>
    <cellStyle name="Normal 9 2 4 3 2 4" xfId="5103" xr:uid="{00000000-0005-0000-0000-0000D91F0000}"/>
    <cellStyle name="Normal 9 2 4 3 3" xfId="1387" xr:uid="{00000000-0005-0000-0000-0000DA1F0000}"/>
    <cellStyle name="Normal 9 2 4 3 3 2" xfId="3509" xr:uid="{00000000-0005-0000-0000-0000DB1F0000}"/>
    <cellStyle name="Normal 9 2 4 3 3 2 2" xfId="7755" xr:uid="{00000000-0005-0000-0000-0000DC1F0000}"/>
    <cellStyle name="Normal 9 2 4 3 3 3" xfId="5633" xr:uid="{00000000-0005-0000-0000-0000DD1F0000}"/>
    <cellStyle name="Normal 9 2 4 3 4" xfId="2450" xr:uid="{00000000-0005-0000-0000-0000DE1F0000}"/>
    <cellStyle name="Normal 9 2 4 3 4 2" xfId="6696" xr:uid="{00000000-0005-0000-0000-0000DF1F0000}"/>
    <cellStyle name="Normal 9 2 4 3 5" xfId="4574" xr:uid="{00000000-0005-0000-0000-0000E01F0000}"/>
    <cellStyle name="Normal 9 2 4 4" xfId="594" xr:uid="{00000000-0005-0000-0000-0000E11F0000}"/>
    <cellStyle name="Normal 9 2 4 4 2" xfId="1653" xr:uid="{00000000-0005-0000-0000-0000E21F0000}"/>
    <cellStyle name="Normal 9 2 4 4 2 2" xfId="3775" xr:uid="{00000000-0005-0000-0000-0000E31F0000}"/>
    <cellStyle name="Normal 9 2 4 4 2 2 2" xfId="8021" xr:uid="{00000000-0005-0000-0000-0000E41F0000}"/>
    <cellStyle name="Normal 9 2 4 4 2 3" xfId="5899" xr:uid="{00000000-0005-0000-0000-0000E51F0000}"/>
    <cellStyle name="Normal 9 2 4 4 3" xfId="2716" xr:uid="{00000000-0005-0000-0000-0000E61F0000}"/>
    <cellStyle name="Normal 9 2 4 4 3 2" xfId="6962" xr:uid="{00000000-0005-0000-0000-0000E71F0000}"/>
    <cellStyle name="Normal 9 2 4 4 4" xfId="4840" xr:uid="{00000000-0005-0000-0000-0000E81F0000}"/>
    <cellStyle name="Normal 9 2 4 5" xfId="1124" xr:uid="{00000000-0005-0000-0000-0000E91F0000}"/>
    <cellStyle name="Normal 9 2 4 5 2" xfId="3246" xr:uid="{00000000-0005-0000-0000-0000EA1F0000}"/>
    <cellStyle name="Normal 9 2 4 5 2 2" xfId="7492" xr:uid="{00000000-0005-0000-0000-0000EB1F0000}"/>
    <cellStyle name="Normal 9 2 4 5 3" xfId="5370" xr:uid="{00000000-0005-0000-0000-0000EC1F0000}"/>
    <cellStyle name="Normal 9 2 4 6" xfId="2187" xr:uid="{00000000-0005-0000-0000-0000ED1F0000}"/>
    <cellStyle name="Normal 9 2 4 6 2" xfId="6433" xr:uid="{00000000-0005-0000-0000-0000EE1F0000}"/>
    <cellStyle name="Normal 9 2 4 7" xfId="4311" xr:uid="{00000000-0005-0000-0000-0000EF1F0000}"/>
    <cellStyle name="Normal 9 2 5" xfId="152" xr:uid="{00000000-0005-0000-0000-0000F01F0000}"/>
    <cellStyle name="Normal 9 2 5 2" xfId="415" xr:uid="{00000000-0005-0000-0000-0000F11F0000}"/>
    <cellStyle name="Normal 9 2 5 2 2" xfId="945" xr:uid="{00000000-0005-0000-0000-0000F21F0000}"/>
    <cellStyle name="Normal 9 2 5 2 2 2" xfId="2004" xr:uid="{00000000-0005-0000-0000-0000F31F0000}"/>
    <cellStyle name="Normal 9 2 5 2 2 2 2" xfId="4126" xr:uid="{00000000-0005-0000-0000-0000F41F0000}"/>
    <cellStyle name="Normal 9 2 5 2 2 2 2 2" xfId="8372" xr:uid="{00000000-0005-0000-0000-0000F51F0000}"/>
    <cellStyle name="Normal 9 2 5 2 2 2 3" xfId="6250" xr:uid="{00000000-0005-0000-0000-0000F61F0000}"/>
    <cellStyle name="Normal 9 2 5 2 2 3" xfId="3067" xr:uid="{00000000-0005-0000-0000-0000F71F0000}"/>
    <cellStyle name="Normal 9 2 5 2 2 3 2" xfId="7313" xr:uid="{00000000-0005-0000-0000-0000F81F0000}"/>
    <cellStyle name="Normal 9 2 5 2 2 4" xfId="5191" xr:uid="{00000000-0005-0000-0000-0000F91F0000}"/>
    <cellStyle name="Normal 9 2 5 2 3" xfId="1475" xr:uid="{00000000-0005-0000-0000-0000FA1F0000}"/>
    <cellStyle name="Normal 9 2 5 2 3 2" xfId="3597" xr:uid="{00000000-0005-0000-0000-0000FB1F0000}"/>
    <cellStyle name="Normal 9 2 5 2 3 2 2" xfId="7843" xr:uid="{00000000-0005-0000-0000-0000FC1F0000}"/>
    <cellStyle name="Normal 9 2 5 2 3 3" xfId="5721" xr:uid="{00000000-0005-0000-0000-0000FD1F0000}"/>
    <cellStyle name="Normal 9 2 5 2 4" xfId="2538" xr:uid="{00000000-0005-0000-0000-0000FE1F0000}"/>
    <cellStyle name="Normal 9 2 5 2 4 2" xfId="6784" xr:uid="{00000000-0005-0000-0000-0000FF1F0000}"/>
    <cellStyle name="Normal 9 2 5 2 5" xfId="4662" xr:uid="{00000000-0005-0000-0000-000000200000}"/>
    <cellStyle name="Normal 9 2 5 3" xfId="682" xr:uid="{00000000-0005-0000-0000-000001200000}"/>
    <cellStyle name="Normal 9 2 5 3 2" xfId="1741" xr:uid="{00000000-0005-0000-0000-000002200000}"/>
    <cellStyle name="Normal 9 2 5 3 2 2" xfId="3863" xr:uid="{00000000-0005-0000-0000-000003200000}"/>
    <cellStyle name="Normal 9 2 5 3 2 2 2" xfId="8109" xr:uid="{00000000-0005-0000-0000-000004200000}"/>
    <cellStyle name="Normal 9 2 5 3 2 3" xfId="5987" xr:uid="{00000000-0005-0000-0000-000005200000}"/>
    <cellStyle name="Normal 9 2 5 3 3" xfId="2804" xr:uid="{00000000-0005-0000-0000-000006200000}"/>
    <cellStyle name="Normal 9 2 5 3 3 2" xfId="7050" xr:uid="{00000000-0005-0000-0000-000007200000}"/>
    <cellStyle name="Normal 9 2 5 3 4" xfId="4928" xr:uid="{00000000-0005-0000-0000-000008200000}"/>
    <cellStyle name="Normal 9 2 5 4" xfId="1212" xr:uid="{00000000-0005-0000-0000-000009200000}"/>
    <cellStyle name="Normal 9 2 5 4 2" xfId="3334" xr:uid="{00000000-0005-0000-0000-00000A200000}"/>
    <cellStyle name="Normal 9 2 5 4 2 2" xfId="7580" xr:uid="{00000000-0005-0000-0000-00000B200000}"/>
    <cellStyle name="Normal 9 2 5 4 3" xfId="5458" xr:uid="{00000000-0005-0000-0000-00000C200000}"/>
    <cellStyle name="Normal 9 2 5 5" xfId="2275" xr:uid="{00000000-0005-0000-0000-00000D200000}"/>
    <cellStyle name="Normal 9 2 5 5 2" xfId="6521" xr:uid="{00000000-0005-0000-0000-00000E200000}"/>
    <cellStyle name="Normal 9 2 5 6" xfId="4399" xr:uid="{00000000-0005-0000-0000-00000F200000}"/>
    <cellStyle name="Normal 9 2 6" xfId="284" xr:uid="{00000000-0005-0000-0000-000010200000}"/>
    <cellStyle name="Normal 9 2 6 2" xfId="814" xr:uid="{00000000-0005-0000-0000-000011200000}"/>
    <cellStyle name="Normal 9 2 6 2 2" xfId="1873" xr:uid="{00000000-0005-0000-0000-000012200000}"/>
    <cellStyle name="Normal 9 2 6 2 2 2" xfId="3995" xr:uid="{00000000-0005-0000-0000-000013200000}"/>
    <cellStyle name="Normal 9 2 6 2 2 2 2" xfId="8241" xr:uid="{00000000-0005-0000-0000-000014200000}"/>
    <cellStyle name="Normal 9 2 6 2 2 3" xfId="6119" xr:uid="{00000000-0005-0000-0000-000015200000}"/>
    <cellStyle name="Normal 9 2 6 2 3" xfId="2936" xr:uid="{00000000-0005-0000-0000-000016200000}"/>
    <cellStyle name="Normal 9 2 6 2 3 2" xfId="7182" xr:uid="{00000000-0005-0000-0000-000017200000}"/>
    <cellStyle name="Normal 9 2 6 2 4" xfId="5060" xr:uid="{00000000-0005-0000-0000-000018200000}"/>
    <cellStyle name="Normal 9 2 6 3" xfId="1344" xr:uid="{00000000-0005-0000-0000-000019200000}"/>
    <cellStyle name="Normal 9 2 6 3 2" xfId="3466" xr:uid="{00000000-0005-0000-0000-00001A200000}"/>
    <cellStyle name="Normal 9 2 6 3 2 2" xfId="7712" xr:uid="{00000000-0005-0000-0000-00001B200000}"/>
    <cellStyle name="Normal 9 2 6 3 3" xfId="5590" xr:uid="{00000000-0005-0000-0000-00001C200000}"/>
    <cellStyle name="Normal 9 2 6 4" xfId="2407" xr:uid="{00000000-0005-0000-0000-00001D200000}"/>
    <cellStyle name="Normal 9 2 6 4 2" xfId="6653" xr:uid="{00000000-0005-0000-0000-00001E200000}"/>
    <cellStyle name="Normal 9 2 6 5" xfId="4531" xr:uid="{00000000-0005-0000-0000-00001F200000}"/>
    <cellStyle name="Normal 9 2 7" xfId="551" xr:uid="{00000000-0005-0000-0000-000020200000}"/>
    <cellStyle name="Normal 9 2 7 2" xfId="1610" xr:uid="{00000000-0005-0000-0000-000021200000}"/>
    <cellStyle name="Normal 9 2 7 2 2" xfId="3732" xr:uid="{00000000-0005-0000-0000-000022200000}"/>
    <cellStyle name="Normal 9 2 7 2 2 2" xfId="7978" xr:uid="{00000000-0005-0000-0000-000023200000}"/>
    <cellStyle name="Normal 9 2 7 2 3" xfId="5856" xr:uid="{00000000-0005-0000-0000-000024200000}"/>
    <cellStyle name="Normal 9 2 7 3" xfId="2673" xr:uid="{00000000-0005-0000-0000-000025200000}"/>
    <cellStyle name="Normal 9 2 7 3 2" xfId="6919" xr:uid="{00000000-0005-0000-0000-000026200000}"/>
    <cellStyle name="Normal 9 2 7 4" xfId="4797" xr:uid="{00000000-0005-0000-0000-000027200000}"/>
    <cellStyle name="Normal 9 2 8" xfId="1081" xr:uid="{00000000-0005-0000-0000-000028200000}"/>
    <cellStyle name="Normal 9 2 8 2" xfId="3203" xr:uid="{00000000-0005-0000-0000-000029200000}"/>
    <cellStyle name="Normal 9 2 8 2 2" xfId="7449" xr:uid="{00000000-0005-0000-0000-00002A200000}"/>
    <cellStyle name="Normal 9 2 8 3" xfId="5327" xr:uid="{00000000-0005-0000-0000-00002B200000}"/>
    <cellStyle name="Normal 9 2 9" xfId="2144" xr:uid="{00000000-0005-0000-0000-00002C200000}"/>
    <cellStyle name="Normal 9 2 9 2" xfId="6390" xr:uid="{00000000-0005-0000-0000-00002D200000}"/>
    <cellStyle name="Normal 9 3" xfId="30" xr:uid="{00000000-0005-0000-0000-00002E200000}"/>
    <cellStyle name="Normal 9 3 2" xfId="116" xr:uid="{00000000-0005-0000-0000-00002F200000}"/>
    <cellStyle name="Normal 9 3 2 2" xfId="247" xr:uid="{00000000-0005-0000-0000-000030200000}"/>
    <cellStyle name="Normal 9 3 2 2 2" xfId="510" xr:uid="{00000000-0005-0000-0000-000031200000}"/>
    <cellStyle name="Normal 9 3 2 2 2 2" xfId="1040" xr:uid="{00000000-0005-0000-0000-000032200000}"/>
    <cellStyle name="Normal 9 3 2 2 2 2 2" xfId="2099" xr:uid="{00000000-0005-0000-0000-000033200000}"/>
    <cellStyle name="Normal 9 3 2 2 2 2 2 2" xfId="4221" xr:uid="{00000000-0005-0000-0000-000034200000}"/>
    <cellStyle name="Normal 9 3 2 2 2 2 2 2 2" xfId="8467" xr:uid="{00000000-0005-0000-0000-000035200000}"/>
    <cellStyle name="Normal 9 3 2 2 2 2 2 3" xfId="6345" xr:uid="{00000000-0005-0000-0000-000036200000}"/>
    <cellStyle name="Normal 9 3 2 2 2 2 3" xfId="3162" xr:uid="{00000000-0005-0000-0000-000037200000}"/>
    <cellStyle name="Normal 9 3 2 2 2 2 3 2" xfId="7408" xr:uid="{00000000-0005-0000-0000-000038200000}"/>
    <cellStyle name="Normal 9 3 2 2 2 2 4" xfId="5286" xr:uid="{00000000-0005-0000-0000-000039200000}"/>
    <cellStyle name="Normal 9 3 2 2 2 3" xfId="1570" xr:uid="{00000000-0005-0000-0000-00003A200000}"/>
    <cellStyle name="Normal 9 3 2 2 2 3 2" xfId="3692" xr:uid="{00000000-0005-0000-0000-00003B200000}"/>
    <cellStyle name="Normal 9 3 2 2 2 3 2 2" xfId="7938" xr:uid="{00000000-0005-0000-0000-00003C200000}"/>
    <cellStyle name="Normal 9 3 2 2 2 3 3" xfId="5816" xr:uid="{00000000-0005-0000-0000-00003D200000}"/>
    <cellStyle name="Normal 9 3 2 2 2 4" xfId="2633" xr:uid="{00000000-0005-0000-0000-00003E200000}"/>
    <cellStyle name="Normal 9 3 2 2 2 4 2" xfId="6879" xr:uid="{00000000-0005-0000-0000-00003F200000}"/>
    <cellStyle name="Normal 9 3 2 2 2 5" xfId="4757" xr:uid="{00000000-0005-0000-0000-000040200000}"/>
    <cellStyle name="Normal 9 3 2 2 3" xfId="777" xr:uid="{00000000-0005-0000-0000-000041200000}"/>
    <cellStyle name="Normal 9 3 2 2 3 2" xfId="1836" xr:uid="{00000000-0005-0000-0000-000042200000}"/>
    <cellStyle name="Normal 9 3 2 2 3 2 2" xfId="3958" xr:uid="{00000000-0005-0000-0000-000043200000}"/>
    <cellStyle name="Normal 9 3 2 2 3 2 2 2" xfId="8204" xr:uid="{00000000-0005-0000-0000-000044200000}"/>
    <cellStyle name="Normal 9 3 2 2 3 2 3" xfId="6082" xr:uid="{00000000-0005-0000-0000-000045200000}"/>
    <cellStyle name="Normal 9 3 2 2 3 3" xfId="2899" xr:uid="{00000000-0005-0000-0000-000046200000}"/>
    <cellStyle name="Normal 9 3 2 2 3 3 2" xfId="7145" xr:uid="{00000000-0005-0000-0000-000047200000}"/>
    <cellStyle name="Normal 9 3 2 2 3 4" xfId="5023" xr:uid="{00000000-0005-0000-0000-000048200000}"/>
    <cellStyle name="Normal 9 3 2 2 4" xfId="1307" xr:uid="{00000000-0005-0000-0000-000049200000}"/>
    <cellStyle name="Normal 9 3 2 2 4 2" xfId="3429" xr:uid="{00000000-0005-0000-0000-00004A200000}"/>
    <cellStyle name="Normal 9 3 2 2 4 2 2" xfId="7675" xr:uid="{00000000-0005-0000-0000-00004B200000}"/>
    <cellStyle name="Normal 9 3 2 2 4 3" xfId="5553" xr:uid="{00000000-0005-0000-0000-00004C200000}"/>
    <cellStyle name="Normal 9 3 2 2 5" xfId="2370" xr:uid="{00000000-0005-0000-0000-00004D200000}"/>
    <cellStyle name="Normal 9 3 2 2 5 2" xfId="6616" xr:uid="{00000000-0005-0000-0000-00004E200000}"/>
    <cellStyle name="Normal 9 3 2 2 6" xfId="4494" xr:uid="{00000000-0005-0000-0000-00004F200000}"/>
    <cellStyle name="Normal 9 3 2 3" xfId="379" xr:uid="{00000000-0005-0000-0000-000050200000}"/>
    <cellStyle name="Normal 9 3 2 3 2" xfId="909" xr:uid="{00000000-0005-0000-0000-000051200000}"/>
    <cellStyle name="Normal 9 3 2 3 2 2" xfId="1968" xr:uid="{00000000-0005-0000-0000-000052200000}"/>
    <cellStyle name="Normal 9 3 2 3 2 2 2" xfId="4090" xr:uid="{00000000-0005-0000-0000-000053200000}"/>
    <cellStyle name="Normal 9 3 2 3 2 2 2 2" xfId="8336" xr:uid="{00000000-0005-0000-0000-000054200000}"/>
    <cellStyle name="Normal 9 3 2 3 2 2 3" xfId="6214" xr:uid="{00000000-0005-0000-0000-000055200000}"/>
    <cellStyle name="Normal 9 3 2 3 2 3" xfId="3031" xr:uid="{00000000-0005-0000-0000-000056200000}"/>
    <cellStyle name="Normal 9 3 2 3 2 3 2" xfId="7277" xr:uid="{00000000-0005-0000-0000-000057200000}"/>
    <cellStyle name="Normal 9 3 2 3 2 4" xfId="5155" xr:uid="{00000000-0005-0000-0000-000058200000}"/>
    <cellStyle name="Normal 9 3 2 3 3" xfId="1439" xr:uid="{00000000-0005-0000-0000-000059200000}"/>
    <cellStyle name="Normal 9 3 2 3 3 2" xfId="3561" xr:uid="{00000000-0005-0000-0000-00005A200000}"/>
    <cellStyle name="Normal 9 3 2 3 3 2 2" xfId="7807" xr:uid="{00000000-0005-0000-0000-00005B200000}"/>
    <cellStyle name="Normal 9 3 2 3 3 3" xfId="5685" xr:uid="{00000000-0005-0000-0000-00005C200000}"/>
    <cellStyle name="Normal 9 3 2 3 4" xfId="2502" xr:uid="{00000000-0005-0000-0000-00005D200000}"/>
    <cellStyle name="Normal 9 3 2 3 4 2" xfId="6748" xr:uid="{00000000-0005-0000-0000-00005E200000}"/>
    <cellStyle name="Normal 9 3 2 3 5" xfId="4626" xr:uid="{00000000-0005-0000-0000-00005F200000}"/>
    <cellStyle name="Normal 9 3 2 4" xfId="646" xr:uid="{00000000-0005-0000-0000-000060200000}"/>
    <cellStyle name="Normal 9 3 2 4 2" xfId="1705" xr:uid="{00000000-0005-0000-0000-000061200000}"/>
    <cellStyle name="Normal 9 3 2 4 2 2" xfId="3827" xr:uid="{00000000-0005-0000-0000-000062200000}"/>
    <cellStyle name="Normal 9 3 2 4 2 2 2" xfId="8073" xr:uid="{00000000-0005-0000-0000-000063200000}"/>
    <cellStyle name="Normal 9 3 2 4 2 3" xfId="5951" xr:uid="{00000000-0005-0000-0000-000064200000}"/>
    <cellStyle name="Normal 9 3 2 4 3" xfId="2768" xr:uid="{00000000-0005-0000-0000-000065200000}"/>
    <cellStyle name="Normal 9 3 2 4 3 2" xfId="7014" xr:uid="{00000000-0005-0000-0000-000066200000}"/>
    <cellStyle name="Normal 9 3 2 4 4" xfId="4892" xr:uid="{00000000-0005-0000-0000-000067200000}"/>
    <cellStyle name="Normal 9 3 2 5" xfId="1176" xr:uid="{00000000-0005-0000-0000-000068200000}"/>
    <cellStyle name="Normal 9 3 2 5 2" xfId="3298" xr:uid="{00000000-0005-0000-0000-000069200000}"/>
    <cellStyle name="Normal 9 3 2 5 2 2" xfId="7544" xr:uid="{00000000-0005-0000-0000-00006A200000}"/>
    <cellStyle name="Normal 9 3 2 5 3" xfId="5422" xr:uid="{00000000-0005-0000-0000-00006B200000}"/>
    <cellStyle name="Normal 9 3 2 6" xfId="2239" xr:uid="{00000000-0005-0000-0000-00006C200000}"/>
    <cellStyle name="Normal 9 3 2 6 2" xfId="6485" xr:uid="{00000000-0005-0000-0000-00006D200000}"/>
    <cellStyle name="Normal 9 3 2 7" xfId="4363" xr:uid="{00000000-0005-0000-0000-00006E200000}"/>
    <cellStyle name="Normal 9 3 3" xfId="73" xr:uid="{00000000-0005-0000-0000-00006F200000}"/>
    <cellStyle name="Normal 9 3 3 2" xfId="205" xr:uid="{00000000-0005-0000-0000-000070200000}"/>
    <cellStyle name="Normal 9 3 3 2 2" xfId="468" xr:uid="{00000000-0005-0000-0000-000071200000}"/>
    <cellStyle name="Normal 9 3 3 2 2 2" xfId="998" xr:uid="{00000000-0005-0000-0000-000072200000}"/>
    <cellStyle name="Normal 9 3 3 2 2 2 2" xfId="2057" xr:uid="{00000000-0005-0000-0000-000073200000}"/>
    <cellStyle name="Normal 9 3 3 2 2 2 2 2" xfId="4179" xr:uid="{00000000-0005-0000-0000-000074200000}"/>
    <cellStyle name="Normal 9 3 3 2 2 2 2 2 2" xfId="8425" xr:uid="{00000000-0005-0000-0000-000075200000}"/>
    <cellStyle name="Normal 9 3 3 2 2 2 2 3" xfId="6303" xr:uid="{00000000-0005-0000-0000-000076200000}"/>
    <cellStyle name="Normal 9 3 3 2 2 2 3" xfId="3120" xr:uid="{00000000-0005-0000-0000-000077200000}"/>
    <cellStyle name="Normal 9 3 3 2 2 2 3 2" xfId="7366" xr:uid="{00000000-0005-0000-0000-000078200000}"/>
    <cellStyle name="Normal 9 3 3 2 2 2 4" xfId="5244" xr:uid="{00000000-0005-0000-0000-000079200000}"/>
    <cellStyle name="Normal 9 3 3 2 2 3" xfId="1528" xr:uid="{00000000-0005-0000-0000-00007A200000}"/>
    <cellStyle name="Normal 9 3 3 2 2 3 2" xfId="3650" xr:uid="{00000000-0005-0000-0000-00007B200000}"/>
    <cellStyle name="Normal 9 3 3 2 2 3 2 2" xfId="7896" xr:uid="{00000000-0005-0000-0000-00007C200000}"/>
    <cellStyle name="Normal 9 3 3 2 2 3 3" xfId="5774" xr:uid="{00000000-0005-0000-0000-00007D200000}"/>
    <cellStyle name="Normal 9 3 3 2 2 4" xfId="2591" xr:uid="{00000000-0005-0000-0000-00007E200000}"/>
    <cellStyle name="Normal 9 3 3 2 2 4 2" xfId="6837" xr:uid="{00000000-0005-0000-0000-00007F200000}"/>
    <cellStyle name="Normal 9 3 3 2 2 5" xfId="4715" xr:uid="{00000000-0005-0000-0000-000080200000}"/>
    <cellStyle name="Normal 9 3 3 2 3" xfId="735" xr:uid="{00000000-0005-0000-0000-000081200000}"/>
    <cellStyle name="Normal 9 3 3 2 3 2" xfId="1794" xr:uid="{00000000-0005-0000-0000-000082200000}"/>
    <cellStyle name="Normal 9 3 3 2 3 2 2" xfId="3916" xr:uid="{00000000-0005-0000-0000-000083200000}"/>
    <cellStyle name="Normal 9 3 3 2 3 2 2 2" xfId="8162" xr:uid="{00000000-0005-0000-0000-000084200000}"/>
    <cellStyle name="Normal 9 3 3 2 3 2 3" xfId="6040" xr:uid="{00000000-0005-0000-0000-000085200000}"/>
    <cellStyle name="Normal 9 3 3 2 3 3" xfId="2857" xr:uid="{00000000-0005-0000-0000-000086200000}"/>
    <cellStyle name="Normal 9 3 3 2 3 3 2" xfId="7103" xr:uid="{00000000-0005-0000-0000-000087200000}"/>
    <cellStyle name="Normal 9 3 3 2 3 4" xfId="4981" xr:uid="{00000000-0005-0000-0000-000088200000}"/>
    <cellStyle name="Normal 9 3 3 2 4" xfId="1265" xr:uid="{00000000-0005-0000-0000-000089200000}"/>
    <cellStyle name="Normal 9 3 3 2 4 2" xfId="3387" xr:uid="{00000000-0005-0000-0000-00008A200000}"/>
    <cellStyle name="Normal 9 3 3 2 4 2 2" xfId="7633" xr:uid="{00000000-0005-0000-0000-00008B200000}"/>
    <cellStyle name="Normal 9 3 3 2 4 3" xfId="5511" xr:uid="{00000000-0005-0000-0000-00008C200000}"/>
    <cellStyle name="Normal 9 3 3 2 5" xfId="2328" xr:uid="{00000000-0005-0000-0000-00008D200000}"/>
    <cellStyle name="Normal 9 3 3 2 5 2" xfId="6574" xr:uid="{00000000-0005-0000-0000-00008E200000}"/>
    <cellStyle name="Normal 9 3 3 2 6" xfId="4452" xr:uid="{00000000-0005-0000-0000-00008F200000}"/>
    <cellStyle name="Normal 9 3 3 3" xfId="337" xr:uid="{00000000-0005-0000-0000-000090200000}"/>
    <cellStyle name="Normal 9 3 3 3 2" xfId="867" xr:uid="{00000000-0005-0000-0000-000091200000}"/>
    <cellStyle name="Normal 9 3 3 3 2 2" xfId="1926" xr:uid="{00000000-0005-0000-0000-000092200000}"/>
    <cellStyle name="Normal 9 3 3 3 2 2 2" xfId="4048" xr:uid="{00000000-0005-0000-0000-000093200000}"/>
    <cellStyle name="Normal 9 3 3 3 2 2 2 2" xfId="8294" xr:uid="{00000000-0005-0000-0000-000094200000}"/>
    <cellStyle name="Normal 9 3 3 3 2 2 3" xfId="6172" xr:uid="{00000000-0005-0000-0000-000095200000}"/>
    <cellStyle name="Normal 9 3 3 3 2 3" xfId="2989" xr:uid="{00000000-0005-0000-0000-000096200000}"/>
    <cellStyle name="Normal 9 3 3 3 2 3 2" xfId="7235" xr:uid="{00000000-0005-0000-0000-000097200000}"/>
    <cellStyle name="Normal 9 3 3 3 2 4" xfId="5113" xr:uid="{00000000-0005-0000-0000-000098200000}"/>
    <cellStyle name="Normal 9 3 3 3 3" xfId="1397" xr:uid="{00000000-0005-0000-0000-000099200000}"/>
    <cellStyle name="Normal 9 3 3 3 3 2" xfId="3519" xr:uid="{00000000-0005-0000-0000-00009A200000}"/>
    <cellStyle name="Normal 9 3 3 3 3 2 2" xfId="7765" xr:uid="{00000000-0005-0000-0000-00009B200000}"/>
    <cellStyle name="Normal 9 3 3 3 3 3" xfId="5643" xr:uid="{00000000-0005-0000-0000-00009C200000}"/>
    <cellStyle name="Normal 9 3 3 3 4" xfId="2460" xr:uid="{00000000-0005-0000-0000-00009D200000}"/>
    <cellStyle name="Normal 9 3 3 3 4 2" xfId="6706" xr:uid="{00000000-0005-0000-0000-00009E200000}"/>
    <cellStyle name="Normal 9 3 3 3 5" xfId="4584" xr:uid="{00000000-0005-0000-0000-00009F200000}"/>
    <cellStyle name="Normal 9 3 3 4" xfId="604" xr:uid="{00000000-0005-0000-0000-0000A0200000}"/>
    <cellStyle name="Normal 9 3 3 4 2" xfId="1663" xr:uid="{00000000-0005-0000-0000-0000A1200000}"/>
    <cellStyle name="Normal 9 3 3 4 2 2" xfId="3785" xr:uid="{00000000-0005-0000-0000-0000A2200000}"/>
    <cellStyle name="Normal 9 3 3 4 2 2 2" xfId="8031" xr:uid="{00000000-0005-0000-0000-0000A3200000}"/>
    <cellStyle name="Normal 9 3 3 4 2 3" xfId="5909" xr:uid="{00000000-0005-0000-0000-0000A4200000}"/>
    <cellStyle name="Normal 9 3 3 4 3" xfId="2726" xr:uid="{00000000-0005-0000-0000-0000A5200000}"/>
    <cellStyle name="Normal 9 3 3 4 3 2" xfId="6972" xr:uid="{00000000-0005-0000-0000-0000A6200000}"/>
    <cellStyle name="Normal 9 3 3 4 4" xfId="4850" xr:uid="{00000000-0005-0000-0000-0000A7200000}"/>
    <cellStyle name="Normal 9 3 3 5" xfId="1134" xr:uid="{00000000-0005-0000-0000-0000A8200000}"/>
    <cellStyle name="Normal 9 3 3 5 2" xfId="3256" xr:uid="{00000000-0005-0000-0000-0000A9200000}"/>
    <cellStyle name="Normal 9 3 3 5 2 2" xfId="7502" xr:uid="{00000000-0005-0000-0000-0000AA200000}"/>
    <cellStyle name="Normal 9 3 3 5 3" xfId="5380" xr:uid="{00000000-0005-0000-0000-0000AB200000}"/>
    <cellStyle name="Normal 9 3 3 6" xfId="2197" xr:uid="{00000000-0005-0000-0000-0000AC200000}"/>
    <cellStyle name="Normal 9 3 3 6 2" xfId="6443" xr:uid="{00000000-0005-0000-0000-0000AD200000}"/>
    <cellStyle name="Normal 9 3 3 7" xfId="4321" xr:uid="{00000000-0005-0000-0000-0000AE200000}"/>
    <cellStyle name="Normal 9 3 4" xfId="162" xr:uid="{00000000-0005-0000-0000-0000AF200000}"/>
    <cellStyle name="Normal 9 3 4 2" xfId="425" xr:uid="{00000000-0005-0000-0000-0000B0200000}"/>
    <cellStyle name="Normal 9 3 4 2 2" xfId="955" xr:uid="{00000000-0005-0000-0000-0000B1200000}"/>
    <cellStyle name="Normal 9 3 4 2 2 2" xfId="2014" xr:uid="{00000000-0005-0000-0000-0000B2200000}"/>
    <cellStyle name="Normal 9 3 4 2 2 2 2" xfId="4136" xr:uid="{00000000-0005-0000-0000-0000B3200000}"/>
    <cellStyle name="Normal 9 3 4 2 2 2 2 2" xfId="8382" xr:uid="{00000000-0005-0000-0000-0000B4200000}"/>
    <cellStyle name="Normal 9 3 4 2 2 2 3" xfId="6260" xr:uid="{00000000-0005-0000-0000-0000B5200000}"/>
    <cellStyle name="Normal 9 3 4 2 2 3" xfId="3077" xr:uid="{00000000-0005-0000-0000-0000B6200000}"/>
    <cellStyle name="Normal 9 3 4 2 2 3 2" xfId="7323" xr:uid="{00000000-0005-0000-0000-0000B7200000}"/>
    <cellStyle name="Normal 9 3 4 2 2 4" xfId="5201" xr:uid="{00000000-0005-0000-0000-0000B8200000}"/>
    <cellStyle name="Normal 9 3 4 2 3" xfId="1485" xr:uid="{00000000-0005-0000-0000-0000B9200000}"/>
    <cellStyle name="Normal 9 3 4 2 3 2" xfId="3607" xr:uid="{00000000-0005-0000-0000-0000BA200000}"/>
    <cellStyle name="Normal 9 3 4 2 3 2 2" xfId="7853" xr:uid="{00000000-0005-0000-0000-0000BB200000}"/>
    <cellStyle name="Normal 9 3 4 2 3 3" xfId="5731" xr:uid="{00000000-0005-0000-0000-0000BC200000}"/>
    <cellStyle name="Normal 9 3 4 2 4" xfId="2548" xr:uid="{00000000-0005-0000-0000-0000BD200000}"/>
    <cellStyle name="Normal 9 3 4 2 4 2" xfId="6794" xr:uid="{00000000-0005-0000-0000-0000BE200000}"/>
    <cellStyle name="Normal 9 3 4 2 5" xfId="4672" xr:uid="{00000000-0005-0000-0000-0000BF200000}"/>
    <cellStyle name="Normal 9 3 4 3" xfId="692" xr:uid="{00000000-0005-0000-0000-0000C0200000}"/>
    <cellStyle name="Normal 9 3 4 3 2" xfId="1751" xr:uid="{00000000-0005-0000-0000-0000C1200000}"/>
    <cellStyle name="Normal 9 3 4 3 2 2" xfId="3873" xr:uid="{00000000-0005-0000-0000-0000C2200000}"/>
    <cellStyle name="Normal 9 3 4 3 2 2 2" xfId="8119" xr:uid="{00000000-0005-0000-0000-0000C3200000}"/>
    <cellStyle name="Normal 9 3 4 3 2 3" xfId="5997" xr:uid="{00000000-0005-0000-0000-0000C4200000}"/>
    <cellStyle name="Normal 9 3 4 3 3" xfId="2814" xr:uid="{00000000-0005-0000-0000-0000C5200000}"/>
    <cellStyle name="Normal 9 3 4 3 3 2" xfId="7060" xr:uid="{00000000-0005-0000-0000-0000C6200000}"/>
    <cellStyle name="Normal 9 3 4 3 4" xfId="4938" xr:uid="{00000000-0005-0000-0000-0000C7200000}"/>
    <cellStyle name="Normal 9 3 4 4" xfId="1222" xr:uid="{00000000-0005-0000-0000-0000C8200000}"/>
    <cellStyle name="Normal 9 3 4 4 2" xfId="3344" xr:uid="{00000000-0005-0000-0000-0000C9200000}"/>
    <cellStyle name="Normal 9 3 4 4 2 2" xfId="7590" xr:uid="{00000000-0005-0000-0000-0000CA200000}"/>
    <cellStyle name="Normal 9 3 4 4 3" xfId="5468" xr:uid="{00000000-0005-0000-0000-0000CB200000}"/>
    <cellStyle name="Normal 9 3 4 5" xfId="2285" xr:uid="{00000000-0005-0000-0000-0000CC200000}"/>
    <cellStyle name="Normal 9 3 4 5 2" xfId="6531" xr:uid="{00000000-0005-0000-0000-0000CD200000}"/>
    <cellStyle name="Normal 9 3 4 6" xfId="4409" xr:uid="{00000000-0005-0000-0000-0000CE200000}"/>
    <cellStyle name="Normal 9 3 5" xfId="294" xr:uid="{00000000-0005-0000-0000-0000CF200000}"/>
    <cellStyle name="Normal 9 3 5 2" xfId="824" xr:uid="{00000000-0005-0000-0000-0000D0200000}"/>
    <cellStyle name="Normal 9 3 5 2 2" xfId="1883" xr:uid="{00000000-0005-0000-0000-0000D1200000}"/>
    <cellStyle name="Normal 9 3 5 2 2 2" xfId="4005" xr:uid="{00000000-0005-0000-0000-0000D2200000}"/>
    <cellStyle name="Normal 9 3 5 2 2 2 2" xfId="8251" xr:uid="{00000000-0005-0000-0000-0000D3200000}"/>
    <cellStyle name="Normal 9 3 5 2 2 3" xfId="6129" xr:uid="{00000000-0005-0000-0000-0000D4200000}"/>
    <cellStyle name="Normal 9 3 5 2 3" xfId="2946" xr:uid="{00000000-0005-0000-0000-0000D5200000}"/>
    <cellStyle name="Normal 9 3 5 2 3 2" xfId="7192" xr:uid="{00000000-0005-0000-0000-0000D6200000}"/>
    <cellStyle name="Normal 9 3 5 2 4" xfId="5070" xr:uid="{00000000-0005-0000-0000-0000D7200000}"/>
    <cellStyle name="Normal 9 3 5 3" xfId="1354" xr:uid="{00000000-0005-0000-0000-0000D8200000}"/>
    <cellStyle name="Normal 9 3 5 3 2" xfId="3476" xr:uid="{00000000-0005-0000-0000-0000D9200000}"/>
    <cellStyle name="Normal 9 3 5 3 2 2" xfId="7722" xr:uid="{00000000-0005-0000-0000-0000DA200000}"/>
    <cellStyle name="Normal 9 3 5 3 3" xfId="5600" xr:uid="{00000000-0005-0000-0000-0000DB200000}"/>
    <cellStyle name="Normal 9 3 5 4" xfId="2417" xr:uid="{00000000-0005-0000-0000-0000DC200000}"/>
    <cellStyle name="Normal 9 3 5 4 2" xfId="6663" xr:uid="{00000000-0005-0000-0000-0000DD200000}"/>
    <cellStyle name="Normal 9 3 5 5" xfId="4541" xr:uid="{00000000-0005-0000-0000-0000DE200000}"/>
    <cellStyle name="Normal 9 3 6" xfId="561" xr:uid="{00000000-0005-0000-0000-0000DF200000}"/>
    <cellStyle name="Normal 9 3 6 2" xfId="1620" xr:uid="{00000000-0005-0000-0000-0000E0200000}"/>
    <cellStyle name="Normal 9 3 6 2 2" xfId="3742" xr:uid="{00000000-0005-0000-0000-0000E1200000}"/>
    <cellStyle name="Normal 9 3 6 2 2 2" xfId="7988" xr:uid="{00000000-0005-0000-0000-0000E2200000}"/>
    <cellStyle name="Normal 9 3 6 2 3" xfId="5866" xr:uid="{00000000-0005-0000-0000-0000E3200000}"/>
    <cellStyle name="Normal 9 3 6 3" xfId="2683" xr:uid="{00000000-0005-0000-0000-0000E4200000}"/>
    <cellStyle name="Normal 9 3 6 3 2" xfId="6929" xr:uid="{00000000-0005-0000-0000-0000E5200000}"/>
    <cellStyle name="Normal 9 3 6 4" xfId="4807" xr:uid="{00000000-0005-0000-0000-0000E6200000}"/>
    <cellStyle name="Normal 9 3 7" xfId="1091" xr:uid="{00000000-0005-0000-0000-0000E7200000}"/>
    <cellStyle name="Normal 9 3 7 2" xfId="3213" xr:uid="{00000000-0005-0000-0000-0000E8200000}"/>
    <cellStyle name="Normal 9 3 7 2 2" xfId="7459" xr:uid="{00000000-0005-0000-0000-0000E9200000}"/>
    <cellStyle name="Normal 9 3 7 3" xfId="5337" xr:uid="{00000000-0005-0000-0000-0000EA200000}"/>
    <cellStyle name="Normal 9 3 8" xfId="2154" xr:uid="{00000000-0005-0000-0000-0000EB200000}"/>
    <cellStyle name="Normal 9 3 8 2" xfId="6400" xr:uid="{00000000-0005-0000-0000-0000EC200000}"/>
    <cellStyle name="Normal 9 3 9" xfId="4278" xr:uid="{00000000-0005-0000-0000-0000ED200000}"/>
    <cellStyle name="Normal 9 4" xfId="96" xr:uid="{00000000-0005-0000-0000-0000EE200000}"/>
    <cellStyle name="Normal 9 4 2" xfId="227" xr:uid="{00000000-0005-0000-0000-0000EF200000}"/>
    <cellStyle name="Normal 9 4 2 2" xfId="490" xr:uid="{00000000-0005-0000-0000-0000F0200000}"/>
    <cellStyle name="Normal 9 4 2 2 2" xfId="1020" xr:uid="{00000000-0005-0000-0000-0000F1200000}"/>
    <cellStyle name="Normal 9 4 2 2 2 2" xfId="2079" xr:uid="{00000000-0005-0000-0000-0000F2200000}"/>
    <cellStyle name="Normal 9 4 2 2 2 2 2" xfId="4201" xr:uid="{00000000-0005-0000-0000-0000F3200000}"/>
    <cellStyle name="Normal 9 4 2 2 2 2 2 2" xfId="8447" xr:uid="{00000000-0005-0000-0000-0000F4200000}"/>
    <cellStyle name="Normal 9 4 2 2 2 2 3" xfId="6325" xr:uid="{00000000-0005-0000-0000-0000F5200000}"/>
    <cellStyle name="Normal 9 4 2 2 2 3" xfId="3142" xr:uid="{00000000-0005-0000-0000-0000F6200000}"/>
    <cellStyle name="Normal 9 4 2 2 2 3 2" xfId="7388" xr:uid="{00000000-0005-0000-0000-0000F7200000}"/>
    <cellStyle name="Normal 9 4 2 2 2 4" xfId="5266" xr:uid="{00000000-0005-0000-0000-0000F8200000}"/>
    <cellStyle name="Normal 9 4 2 2 3" xfId="1550" xr:uid="{00000000-0005-0000-0000-0000F9200000}"/>
    <cellStyle name="Normal 9 4 2 2 3 2" xfId="3672" xr:uid="{00000000-0005-0000-0000-0000FA200000}"/>
    <cellStyle name="Normal 9 4 2 2 3 2 2" xfId="7918" xr:uid="{00000000-0005-0000-0000-0000FB200000}"/>
    <cellStyle name="Normal 9 4 2 2 3 3" xfId="5796" xr:uid="{00000000-0005-0000-0000-0000FC200000}"/>
    <cellStyle name="Normal 9 4 2 2 4" xfId="2613" xr:uid="{00000000-0005-0000-0000-0000FD200000}"/>
    <cellStyle name="Normal 9 4 2 2 4 2" xfId="6859" xr:uid="{00000000-0005-0000-0000-0000FE200000}"/>
    <cellStyle name="Normal 9 4 2 2 5" xfId="4737" xr:uid="{00000000-0005-0000-0000-0000FF200000}"/>
    <cellStyle name="Normal 9 4 2 3" xfId="757" xr:uid="{00000000-0005-0000-0000-000000210000}"/>
    <cellStyle name="Normal 9 4 2 3 2" xfId="1816" xr:uid="{00000000-0005-0000-0000-000001210000}"/>
    <cellStyle name="Normal 9 4 2 3 2 2" xfId="3938" xr:uid="{00000000-0005-0000-0000-000002210000}"/>
    <cellStyle name="Normal 9 4 2 3 2 2 2" xfId="8184" xr:uid="{00000000-0005-0000-0000-000003210000}"/>
    <cellStyle name="Normal 9 4 2 3 2 3" xfId="6062" xr:uid="{00000000-0005-0000-0000-000004210000}"/>
    <cellStyle name="Normal 9 4 2 3 3" xfId="2879" xr:uid="{00000000-0005-0000-0000-000005210000}"/>
    <cellStyle name="Normal 9 4 2 3 3 2" xfId="7125" xr:uid="{00000000-0005-0000-0000-000006210000}"/>
    <cellStyle name="Normal 9 4 2 3 4" xfId="5003" xr:uid="{00000000-0005-0000-0000-000007210000}"/>
    <cellStyle name="Normal 9 4 2 4" xfId="1287" xr:uid="{00000000-0005-0000-0000-000008210000}"/>
    <cellStyle name="Normal 9 4 2 4 2" xfId="3409" xr:uid="{00000000-0005-0000-0000-000009210000}"/>
    <cellStyle name="Normal 9 4 2 4 2 2" xfId="7655" xr:uid="{00000000-0005-0000-0000-00000A210000}"/>
    <cellStyle name="Normal 9 4 2 4 3" xfId="5533" xr:uid="{00000000-0005-0000-0000-00000B210000}"/>
    <cellStyle name="Normal 9 4 2 5" xfId="2350" xr:uid="{00000000-0005-0000-0000-00000C210000}"/>
    <cellStyle name="Normal 9 4 2 5 2" xfId="6596" xr:uid="{00000000-0005-0000-0000-00000D210000}"/>
    <cellStyle name="Normal 9 4 2 6" xfId="4474" xr:uid="{00000000-0005-0000-0000-00000E210000}"/>
    <cellStyle name="Normal 9 4 3" xfId="359" xr:uid="{00000000-0005-0000-0000-00000F210000}"/>
    <cellStyle name="Normal 9 4 3 2" xfId="889" xr:uid="{00000000-0005-0000-0000-000010210000}"/>
    <cellStyle name="Normal 9 4 3 2 2" xfId="1948" xr:uid="{00000000-0005-0000-0000-000011210000}"/>
    <cellStyle name="Normal 9 4 3 2 2 2" xfId="4070" xr:uid="{00000000-0005-0000-0000-000012210000}"/>
    <cellStyle name="Normal 9 4 3 2 2 2 2" xfId="8316" xr:uid="{00000000-0005-0000-0000-000013210000}"/>
    <cellStyle name="Normal 9 4 3 2 2 3" xfId="6194" xr:uid="{00000000-0005-0000-0000-000014210000}"/>
    <cellStyle name="Normal 9 4 3 2 3" xfId="3011" xr:uid="{00000000-0005-0000-0000-000015210000}"/>
    <cellStyle name="Normal 9 4 3 2 3 2" xfId="7257" xr:uid="{00000000-0005-0000-0000-000016210000}"/>
    <cellStyle name="Normal 9 4 3 2 4" xfId="5135" xr:uid="{00000000-0005-0000-0000-000017210000}"/>
    <cellStyle name="Normal 9 4 3 3" xfId="1419" xr:uid="{00000000-0005-0000-0000-000018210000}"/>
    <cellStyle name="Normal 9 4 3 3 2" xfId="3541" xr:uid="{00000000-0005-0000-0000-000019210000}"/>
    <cellStyle name="Normal 9 4 3 3 2 2" xfId="7787" xr:uid="{00000000-0005-0000-0000-00001A210000}"/>
    <cellStyle name="Normal 9 4 3 3 3" xfId="5665" xr:uid="{00000000-0005-0000-0000-00001B210000}"/>
    <cellStyle name="Normal 9 4 3 4" xfId="2482" xr:uid="{00000000-0005-0000-0000-00001C210000}"/>
    <cellStyle name="Normal 9 4 3 4 2" xfId="6728" xr:uid="{00000000-0005-0000-0000-00001D210000}"/>
    <cellStyle name="Normal 9 4 3 5" xfId="4606" xr:uid="{00000000-0005-0000-0000-00001E210000}"/>
    <cellStyle name="Normal 9 4 4" xfId="626" xr:uid="{00000000-0005-0000-0000-00001F210000}"/>
    <cellStyle name="Normal 9 4 4 2" xfId="1685" xr:uid="{00000000-0005-0000-0000-000020210000}"/>
    <cellStyle name="Normal 9 4 4 2 2" xfId="3807" xr:uid="{00000000-0005-0000-0000-000021210000}"/>
    <cellStyle name="Normal 9 4 4 2 2 2" xfId="8053" xr:uid="{00000000-0005-0000-0000-000022210000}"/>
    <cellStyle name="Normal 9 4 4 2 3" xfId="5931" xr:uid="{00000000-0005-0000-0000-000023210000}"/>
    <cellStyle name="Normal 9 4 4 3" xfId="2748" xr:uid="{00000000-0005-0000-0000-000024210000}"/>
    <cellStyle name="Normal 9 4 4 3 2" xfId="6994" xr:uid="{00000000-0005-0000-0000-000025210000}"/>
    <cellStyle name="Normal 9 4 4 4" xfId="4872" xr:uid="{00000000-0005-0000-0000-000026210000}"/>
    <cellStyle name="Normal 9 4 5" xfId="1156" xr:uid="{00000000-0005-0000-0000-000027210000}"/>
    <cellStyle name="Normal 9 4 5 2" xfId="3278" xr:uid="{00000000-0005-0000-0000-000028210000}"/>
    <cellStyle name="Normal 9 4 5 2 2" xfId="7524" xr:uid="{00000000-0005-0000-0000-000029210000}"/>
    <cellStyle name="Normal 9 4 5 3" xfId="5402" xr:uid="{00000000-0005-0000-0000-00002A210000}"/>
    <cellStyle name="Normal 9 4 6" xfId="2219" xr:uid="{00000000-0005-0000-0000-00002B210000}"/>
    <cellStyle name="Normal 9 4 6 2" xfId="6465" xr:uid="{00000000-0005-0000-0000-00002C210000}"/>
    <cellStyle name="Normal 9 4 7" xfId="4343" xr:uid="{00000000-0005-0000-0000-00002D210000}"/>
    <cellStyle name="Normal 9 5" xfId="53" xr:uid="{00000000-0005-0000-0000-00002E210000}"/>
    <cellStyle name="Normal 9 5 2" xfId="185" xr:uid="{00000000-0005-0000-0000-00002F210000}"/>
    <cellStyle name="Normal 9 5 2 2" xfId="448" xr:uid="{00000000-0005-0000-0000-000030210000}"/>
    <cellStyle name="Normal 9 5 2 2 2" xfId="978" xr:uid="{00000000-0005-0000-0000-000031210000}"/>
    <cellStyle name="Normal 9 5 2 2 2 2" xfId="2037" xr:uid="{00000000-0005-0000-0000-000032210000}"/>
    <cellStyle name="Normal 9 5 2 2 2 2 2" xfId="4159" xr:uid="{00000000-0005-0000-0000-000033210000}"/>
    <cellStyle name="Normal 9 5 2 2 2 2 2 2" xfId="8405" xr:uid="{00000000-0005-0000-0000-000034210000}"/>
    <cellStyle name="Normal 9 5 2 2 2 2 3" xfId="6283" xr:uid="{00000000-0005-0000-0000-000035210000}"/>
    <cellStyle name="Normal 9 5 2 2 2 3" xfId="3100" xr:uid="{00000000-0005-0000-0000-000036210000}"/>
    <cellStyle name="Normal 9 5 2 2 2 3 2" xfId="7346" xr:uid="{00000000-0005-0000-0000-000037210000}"/>
    <cellStyle name="Normal 9 5 2 2 2 4" xfId="5224" xr:uid="{00000000-0005-0000-0000-000038210000}"/>
    <cellStyle name="Normal 9 5 2 2 3" xfId="1508" xr:uid="{00000000-0005-0000-0000-000039210000}"/>
    <cellStyle name="Normal 9 5 2 2 3 2" xfId="3630" xr:uid="{00000000-0005-0000-0000-00003A210000}"/>
    <cellStyle name="Normal 9 5 2 2 3 2 2" xfId="7876" xr:uid="{00000000-0005-0000-0000-00003B210000}"/>
    <cellStyle name="Normal 9 5 2 2 3 3" xfId="5754" xr:uid="{00000000-0005-0000-0000-00003C210000}"/>
    <cellStyle name="Normal 9 5 2 2 4" xfId="2571" xr:uid="{00000000-0005-0000-0000-00003D210000}"/>
    <cellStyle name="Normal 9 5 2 2 4 2" xfId="6817" xr:uid="{00000000-0005-0000-0000-00003E210000}"/>
    <cellStyle name="Normal 9 5 2 2 5" xfId="4695" xr:uid="{00000000-0005-0000-0000-00003F210000}"/>
    <cellStyle name="Normal 9 5 2 3" xfId="715" xr:uid="{00000000-0005-0000-0000-000040210000}"/>
    <cellStyle name="Normal 9 5 2 3 2" xfId="1774" xr:uid="{00000000-0005-0000-0000-000041210000}"/>
    <cellStyle name="Normal 9 5 2 3 2 2" xfId="3896" xr:uid="{00000000-0005-0000-0000-000042210000}"/>
    <cellStyle name="Normal 9 5 2 3 2 2 2" xfId="8142" xr:uid="{00000000-0005-0000-0000-000043210000}"/>
    <cellStyle name="Normal 9 5 2 3 2 3" xfId="6020" xr:uid="{00000000-0005-0000-0000-000044210000}"/>
    <cellStyle name="Normal 9 5 2 3 3" xfId="2837" xr:uid="{00000000-0005-0000-0000-000045210000}"/>
    <cellStyle name="Normal 9 5 2 3 3 2" xfId="7083" xr:uid="{00000000-0005-0000-0000-000046210000}"/>
    <cellStyle name="Normal 9 5 2 3 4" xfId="4961" xr:uid="{00000000-0005-0000-0000-000047210000}"/>
    <cellStyle name="Normal 9 5 2 4" xfId="1245" xr:uid="{00000000-0005-0000-0000-000048210000}"/>
    <cellStyle name="Normal 9 5 2 4 2" xfId="3367" xr:uid="{00000000-0005-0000-0000-000049210000}"/>
    <cellStyle name="Normal 9 5 2 4 2 2" xfId="7613" xr:uid="{00000000-0005-0000-0000-00004A210000}"/>
    <cellStyle name="Normal 9 5 2 4 3" xfId="5491" xr:uid="{00000000-0005-0000-0000-00004B210000}"/>
    <cellStyle name="Normal 9 5 2 5" xfId="2308" xr:uid="{00000000-0005-0000-0000-00004C210000}"/>
    <cellStyle name="Normal 9 5 2 5 2" xfId="6554" xr:uid="{00000000-0005-0000-0000-00004D210000}"/>
    <cellStyle name="Normal 9 5 2 6" xfId="4432" xr:uid="{00000000-0005-0000-0000-00004E210000}"/>
    <cellStyle name="Normal 9 5 3" xfId="317" xr:uid="{00000000-0005-0000-0000-00004F210000}"/>
    <cellStyle name="Normal 9 5 3 2" xfId="847" xr:uid="{00000000-0005-0000-0000-000050210000}"/>
    <cellStyle name="Normal 9 5 3 2 2" xfId="1906" xr:uid="{00000000-0005-0000-0000-000051210000}"/>
    <cellStyle name="Normal 9 5 3 2 2 2" xfId="4028" xr:uid="{00000000-0005-0000-0000-000052210000}"/>
    <cellStyle name="Normal 9 5 3 2 2 2 2" xfId="8274" xr:uid="{00000000-0005-0000-0000-000053210000}"/>
    <cellStyle name="Normal 9 5 3 2 2 3" xfId="6152" xr:uid="{00000000-0005-0000-0000-000054210000}"/>
    <cellStyle name="Normal 9 5 3 2 3" xfId="2969" xr:uid="{00000000-0005-0000-0000-000055210000}"/>
    <cellStyle name="Normal 9 5 3 2 3 2" xfId="7215" xr:uid="{00000000-0005-0000-0000-000056210000}"/>
    <cellStyle name="Normal 9 5 3 2 4" xfId="5093" xr:uid="{00000000-0005-0000-0000-000057210000}"/>
    <cellStyle name="Normal 9 5 3 3" xfId="1377" xr:uid="{00000000-0005-0000-0000-000058210000}"/>
    <cellStyle name="Normal 9 5 3 3 2" xfId="3499" xr:uid="{00000000-0005-0000-0000-000059210000}"/>
    <cellStyle name="Normal 9 5 3 3 2 2" xfId="7745" xr:uid="{00000000-0005-0000-0000-00005A210000}"/>
    <cellStyle name="Normal 9 5 3 3 3" xfId="5623" xr:uid="{00000000-0005-0000-0000-00005B210000}"/>
    <cellStyle name="Normal 9 5 3 4" xfId="2440" xr:uid="{00000000-0005-0000-0000-00005C210000}"/>
    <cellStyle name="Normal 9 5 3 4 2" xfId="6686" xr:uid="{00000000-0005-0000-0000-00005D210000}"/>
    <cellStyle name="Normal 9 5 3 5" xfId="4564" xr:uid="{00000000-0005-0000-0000-00005E210000}"/>
    <cellStyle name="Normal 9 5 4" xfId="584" xr:uid="{00000000-0005-0000-0000-00005F210000}"/>
    <cellStyle name="Normal 9 5 4 2" xfId="1643" xr:uid="{00000000-0005-0000-0000-000060210000}"/>
    <cellStyle name="Normal 9 5 4 2 2" xfId="3765" xr:uid="{00000000-0005-0000-0000-000061210000}"/>
    <cellStyle name="Normal 9 5 4 2 2 2" xfId="8011" xr:uid="{00000000-0005-0000-0000-000062210000}"/>
    <cellStyle name="Normal 9 5 4 2 3" xfId="5889" xr:uid="{00000000-0005-0000-0000-000063210000}"/>
    <cellStyle name="Normal 9 5 4 3" xfId="2706" xr:uid="{00000000-0005-0000-0000-000064210000}"/>
    <cellStyle name="Normal 9 5 4 3 2" xfId="6952" xr:uid="{00000000-0005-0000-0000-000065210000}"/>
    <cellStyle name="Normal 9 5 4 4" xfId="4830" xr:uid="{00000000-0005-0000-0000-000066210000}"/>
    <cellStyle name="Normal 9 5 5" xfId="1114" xr:uid="{00000000-0005-0000-0000-000067210000}"/>
    <cellStyle name="Normal 9 5 5 2" xfId="3236" xr:uid="{00000000-0005-0000-0000-000068210000}"/>
    <cellStyle name="Normal 9 5 5 2 2" xfId="7482" xr:uid="{00000000-0005-0000-0000-000069210000}"/>
    <cellStyle name="Normal 9 5 5 3" xfId="5360" xr:uid="{00000000-0005-0000-0000-00006A210000}"/>
    <cellStyle name="Normal 9 5 6" xfId="2177" xr:uid="{00000000-0005-0000-0000-00006B210000}"/>
    <cellStyle name="Normal 9 5 6 2" xfId="6423" xr:uid="{00000000-0005-0000-0000-00006C210000}"/>
    <cellStyle name="Normal 9 5 7" xfId="4301" xr:uid="{00000000-0005-0000-0000-00006D210000}"/>
    <cellStyle name="Normal 9 6" xfId="141" xr:uid="{00000000-0005-0000-0000-00006E210000}"/>
    <cellStyle name="Normal 9 6 2" xfId="404" xr:uid="{00000000-0005-0000-0000-00006F210000}"/>
    <cellStyle name="Normal 9 6 2 2" xfId="934" xr:uid="{00000000-0005-0000-0000-000070210000}"/>
    <cellStyle name="Normal 9 6 2 2 2" xfId="1993" xr:uid="{00000000-0005-0000-0000-000071210000}"/>
    <cellStyle name="Normal 9 6 2 2 2 2" xfId="4115" xr:uid="{00000000-0005-0000-0000-000072210000}"/>
    <cellStyle name="Normal 9 6 2 2 2 2 2" xfId="8361" xr:uid="{00000000-0005-0000-0000-000073210000}"/>
    <cellStyle name="Normal 9 6 2 2 2 3" xfId="6239" xr:uid="{00000000-0005-0000-0000-000074210000}"/>
    <cellStyle name="Normal 9 6 2 2 3" xfId="3056" xr:uid="{00000000-0005-0000-0000-000075210000}"/>
    <cellStyle name="Normal 9 6 2 2 3 2" xfId="7302" xr:uid="{00000000-0005-0000-0000-000076210000}"/>
    <cellStyle name="Normal 9 6 2 2 4" xfId="5180" xr:uid="{00000000-0005-0000-0000-000077210000}"/>
    <cellStyle name="Normal 9 6 2 3" xfId="1464" xr:uid="{00000000-0005-0000-0000-000078210000}"/>
    <cellStyle name="Normal 9 6 2 3 2" xfId="3586" xr:uid="{00000000-0005-0000-0000-000079210000}"/>
    <cellStyle name="Normal 9 6 2 3 2 2" xfId="7832" xr:uid="{00000000-0005-0000-0000-00007A210000}"/>
    <cellStyle name="Normal 9 6 2 3 3" xfId="5710" xr:uid="{00000000-0005-0000-0000-00007B210000}"/>
    <cellStyle name="Normal 9 6 2 4" xfId="2527" xr:uid="{00000000-0005-0000-0000-00007C210000}"/>
    <cellStyle name="Normal 9 6 2 4 2" xfId="6773" xr:uid="{00000000-0005-0000-0000-00007D210000}"/>
    <cellStyle name="Normal 9 6 2 5" xfId="4651" xr:uid="{00000000-0005-0000-0000-00007E210000}"/>
    <cellStyle name="Normal 9 6 3" xfId="671" xr:uid="{00000000-0005-0000-0000-00007F210000}"/>
    <cellStyle name="Normal 9 6 3 2" xfId="1730" xr:uid="{00000000-0005-0000-0000-000080210000}"/>
    <cellStyle name="Normal 9 6 3 2 2" xfId="3852" xr:uid="{00000000-0005-0000-0000-000081210000}"/>
    <cellStyle name="Normal 9 6 3 2 2 2" xfId="8098" xr:uid="{00000000-0005-0000-0000-000082210000}"/>
    <cellStyle name="Normal 9 6 3 2 3" xfId="5976" xr:uid="{00000000-0005-0000-0000-000083210000}"/>
    <cellStyle name="Normal 9 6 3 3" xfId="2793" xr:uid="{00000000-0005-0000-0000-000084210000}"/>
    <cellStyle name="Normal 9 6 3 3 2" xfId="7039" xr:uid="{00000000-0005-0000-0000-000085210000}"/>
    <cellStyle name="Normal 9 6 3 4" xfId="4917" xr:uid="{00000000-0005-0000-0000-000086210000}"/>
    <cellStyle name="Normal 9 6 4" xfId="1201" xr:uid="{00000000-0005-0000-0000-000087210000}"/>
    <cellStyle name="Normal 9 6 4 2" xfId="3323" xr:uid="{00000000-0005-0000-0000-000088210000}"/>
    <cellStyle name="Normal 9 6 4 2 2" xfId="7569" xr:uid="{00000000-0005-0000-0000-000089210000}"/>
    <cellStyle name="Normal 9 6 4 3" xfId="5447" xr:uid="{00000000-0005-0000-0000-00008A210000}"/>
    <cellStyle name="Normal 9 6 5" xfId="2264" xr:uid="{00000000-0005-0000-0000-00008B210000}"/>
    <cellStyle name="Normal 9 6 5 2" xfId="6510" xr:uid="{00000000-0005-0000-0000-00008C210000}"/>
    <cellStyle name="Normal 9 6 6" xfId="4388" xr:uid="{00000000-0005-0000-0000-00008D210000}"/>
    <cellStyle name="Normal 9 7" xfId="273" xr:uid="{00000000-0005-0000-0000-00008E210000}"/>
    <cellStyle name="Normal 9 7 2" xfId="803" xr:uid="{00000000-0005-0000-0000-00008F210000}"/>
    <cellStyle name="Normal 9 7 2 2" xfId="1862" xr:uid="{00000000-0005-0000-0000-000090210000}"/>
    <cellStyle name="Normal 9 7 2 2 2" xfId="3984" xr:uid="{00000000-0005-0000-0000-000091210000}"/>
    <cellStyle name="Normal 9 7 2 2 2 2" xfId="8230" xr:uid="{00000000-0005-0000-0000-000092210000}"/>
    <cellStyle name="Normal 9 7 2 2 3" xfId="6108" xr:uid="{00000000-0005-0000-0000-000093210000}"/>
    <cellStyle name="Normal 9 7 2 3" xfId="2925" xr:uid="{00000000-0005-0000-0000-000094210000}"/>
    <cellStyle name="Normal 9 7 2 3 2" xfId="7171" xr:uid="{00000000-0005-0000-0000-000095210000}"/>
    <cellStyle name="Normal 9 7 2 4" xfId="5049" xr:uid="{00000000-0005-0000-0000-000096210000}"/>
    <cellStyle name="Normal 9 7 3" xfId="1333" xr:uid="{00000000-0005-0000-0000-000097210000}"/>
    <cellStyle name="Normal 9 7 3 2" xfId="3455" xr:uid="{00000000-0005-0000-0000-000098210000}"/>
    <cellStyle name="Normal 9 7 3 2 2" xfId="7701" xr:uid="{00000000-0005-0000-0000-000099210000}"/>
    <cellStyle name="Normal 9 7 3 3" xfId="5579" xr:uid="{00000000-0005-0000-0000-00009A210000}"/>
    <cellStyle name="Normal 9 7 4" xfId="2396" xr:uid="{00000000-0005-0000-0000-00009B210000}"/>
    <cellStyle name="Normal 9 7 4 2" xfId="6642" xr:uid="{00000000-0005-0000-0000-00009C210000}"/>
    <cellStyle name="Normal 9 7 5" xfId="4520" xr:uid="{00000000-0005-0000-0000-00009D210000}"/>
    <cellStyle name="Normal 9 8" xfId="538" xr:uid="{00000000-0005-0000-0000-00009E210000}"/>
    <cellStyle name="Normal 9 8 2" xfId="1598" xr:uid="{00000000-0005-0000-0000-00009F210000}"/>
    <cellStyle name="Normal 9 8 2 2" xfId="3720" xr:uid="{00000000-0005-0000-0000-0000A0210000}"/>
    <cellStyle name="Normal 9 8 2 2 2" xfId="7966" xr:uid="{00000000-0005-0000-0000-0000A1210000}"/>
    <cellStyle name="Normal 9 8 2 3" xfId="5844" xr:uid="{00000000-0005-0000-0000-0000A2210000}"/>
    <cellStyle name="Normal 9 8 3" xfId="2661" xr:uid="{00000000-0005-0000-0000-0000A3210000}"/>
    <cellStyle name="Normal 9 8 3 2" xfId="6907" xr:uid="{00000000-0005-0000-0000-0000A4210000}"/>
    <cellStyle name="Normal 9 8 4" xfId="4785" xr:uid="{00000000-0005-0000-0000-0000A5210000}"/>
    <cellStyle name="Normal 9 9" xfId="1069" xr:uid="{00000000-0005-0000-0000-0000A6210000}"/>
    <cellStyle name="Normal 9 9 2" xfId="3191" xr:uid="{00000000-0005-0000-0000-0000A7210000}"/>
    <cellStyle name="Normal 9 9 2 2" xfId="7437" xr:uid="{00000000-0005-0000-0000-0000A8210000}"/>
    <cellStyle name="Normal 9 9 3" xfId="5315" xr:uid="{00000000-0005-0000-0000-0000A9210000}"/>
    <cellStyle name="Percent" xfId="3" builtinId="5"/>
    <cellStyle name="Percent 2" xfId="4" xr:uid="{00000000-0005-0000-0000-0000AB210000}"/>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xdr:col>
      <xdr:colOff>19723</xdr:colOff>
      <xdr:row>58</xdr:row>
      <xdr:rowOff>171791</xdr:rowOff>
    </xdr:from>
    <xdr:to>
      <xdr:col>5</xdr:col>
      <xdr:colOff>0</xdr:colOff>
      <xdr:row>63</xdr:row>
      <xdr:rowOff>156882</xdr:rowOff>
    </xdr:to>
    <xdr:sp macro="[0]!Module1.save" textlink="">
      <xdr:nvSpPr>
        <xdr:cNvPr id="2" name="Rectangle: Rounded Corners 1">
          <a:extLst>
            <a:ext uri="{FF2B5EF4-FFF2-40B4-BE49-F238E27FC236}">
              <a16:creationId xmlns:a16="http://schemas.microsoft.com/office/drawing/2014/main" id="{411BA465-8243-4EAD-B534-702021A37FB3}"/>
            </a:ext>
          </a:extLst>
        </xdr:cNvPr>
        <xdr:cNvSpPr/>
      </xdr:nvSpPr>
      <xdr:spPr>
        <a:xfrm>
          <a:off x="8572052" y="13421626"/>
          <a:ext cx="4606066" cy="881562"/>
        </a:xfrm>
        <a:prstGeom prst="roundRect">
          <a:avLst/>
        </a:prstGeom>
        <a:solidFill>
          <a:srgbClr val="FF66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t>Submit</a:t>
          </a:r>
        </a:p>
      </xdr:txBody>
    </xdr:sp>
    <xdr:clientData/>
  </xdr:twoCellAnchor>
  <xdr:twoCellAnchor editAs="oneCell">
    <xdr:from>
      <xdr:col>2</xdr:col>
      <xdr:colOff>258631</xdr:colOff>
      <xdr:row>3</xdr:row>
      <xdr:rowOff>0</xdr:rowOff>
    </xdr:from>
    <xdr:to>
      <xdr:col>2</xdr:col>
      <xdr:colOff>1812672</xdr:colOff>
      <xdr:row>5</xdr:row>
      <xdr:rowOff>123599</xdr:rowOff>
    </xdr:to>
    <xdr:pic>
      <xdr:nvPicPr>
        <xdr:cNvPr id="3" name="Picture 2" descr="نتيجة بحث الصور عن ‪crystelcall‬‏">
          <a:extLst>
            <a:ext uri="{FF2B5EF4-FFF2-40B4-BE49-F238E27FC236}">
              <a16:creationId xmlns:a16="http://schemas.microsoft.com/office/drawing/2014/main" id="{F5AF30C4-D188-46B6-83DF-DB4CF7FE0A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8631" y="722107"/>
          <a:ext cx="1554041" cy="4597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1909867</xdr:colOff>
      <xdr:row>3</xdr:row>
      <xdr:rowOff>43959</xdr:rowOff>
    </xdr:to>
    <xdr:pic>
      <xdr:nvPicPr>
        <xdr:cNvPr id="2" name="Picture 1">
          <a:extLst>
            <a:ext uri="{FF2B5EF4-FFF2-40B4-BE49-F238E27FC236}">
              <a16:creationId xmlns:a16="http://schemas.microsoft.com/office/drawing/2014/main" id="{2EEBEB07-7496-48E8-8264-F5B6E8B5FBC6}"/>
            </a:ext>
          </a:extLst>
        </xdr:cNvPr>
        <xdr:cNvPicPr>
          <a:picLocks noChangeAspect="1"/>
        </xdr:cNvPicPr>
      </xdr:nvPicPr>
      <xdr:blipFill>
        <a:blip xmlns:r="http://schemas.openxmlformats.org/officeDocument/2006/relationships" r:embed="rId1"/>
        <a:stretch>
          <a:fillRect/>
        </a:stretch>
      </xdr:blipFill>
      <xdr:spPr>
        <a:xfrm>
          <a:off x="0" y="0"/>
          <a:ext cx="2646317" cy="772341"/>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33"/>
  <sheetViews>
    <sheetView topLeftCell="J1" zoomScale="115" zoomScaleNormal="115" workbookViewId="0">
      <selection activeCell="L23" sqref="L23"/>
    </sheetView>
  </sheetViews>
  <sheetFormatPr defaultColWidth="83" defaultRowHeight="14.4" x14ac:dyDescent="0.3"/>
  <cols>
    <col min="1" max="1" width="20.21875" bestFit="1" customWidth="1"/>
    <col min="2" max="2" width="26.88671875" bestFit="1" customWidth="1"/>
    <col min="3" max="3" width="74.109375" bestFit="1" customWidth="1"/>
    <col min="4" max="4" width="18.21875" bestFit="1" customWidth="1"/>
    <col min="5" max="5" width="9.21875" bestFit="1" customWidth="1"/>
    <col min="6" max="6" width="62.77734375" bestFit="1" customWidth="1"/>
    <col min="7" max="7" width="5.21875" bestFit="1" customWidth="1"/>
    <col min="8" max="8" width="8.88671875" bestFit="1" customWidth="1"/>
    <col min="9" max="9" width="3.77734375" bestFit="1" customWidth="1"/>
    <col min="12" max="12" width="32.21875" bestFit="1" customWidth="1"/>
  </cols>
  <sheetData>
    <row r="1" spans="1:12" x14ac:dyDescent="0.3">
      <c r="A1" s="78" t="s">
        <v>84</v>
      </c>
      <c r="B1" s="78"/>
      <c r="C1" s="78"/>
      <c r="D1" s="1"/>
      <c r="E1" s="1"/>
      <c r="F1" s="1"/>
      <c r="G1" s="1" t="s">
        <v>4</v>
      </c>
      <c r="H1" s="1"/>
      <c r="J1" s="1" t="s">
        <v>54</v>
      </c>
      <c r="K1" s="1" t="s">
        <v>55</v>
      </c>
      <c r="L1" t="s">
        <v>324</v>
      </c>
    </row>
    <row r="2" spans="1:12" x14ac:dyDescent="0.3">
      <c r="A2" s="1" t="s">
        <v>28</v>
      </c>
      <c r="B2" s="1" t="s">
        <v>43</v>
      </c>
      <c r="C2" s="1" t="s">
        <v>44</v>
      </c>
      <c r="D2" s="1" t="s">
        <v>90</v>
      </c>
      <c r="F2" s="1" t="s">
        <v>85</v>
      </c>
      <c r="G2" t="s">
        <v>180</v>
      </c>
      <c r="H2" t="s">
        <v>7</v>
      </c>
      <c r="I2" t="s">
        <v>11</v>
      </c>
      <c r="J2" s="2" t="s">
        <v>6</v>
      </c>
      <c r="K2" s="2" t="s">
        <v>46</v>
      </c>
      <c r="L2" s="47" t="s">
        <v>328</v>
      </c>
    </row>
    <row r="3" spans="1:12" x14ac:dyDescent="0.3">
      <c r="A3" s="6" t="s">
        <v>32</v>
      </c>
      <c r="B3" s="11" t="s">
        <v>41</v>
      </c>
      <c r="C3" s="5" t="s">
        <v>60</v>
      </c>
      <c r="D3" t="s">
        <v>91</v>
      </c>
      <c r="E3" t="s">
        <v>7</v>
      </c>
      <c r="F3" s="5" t="s">
        <v>60</v>
      </c>
      <c r="G3" t="s">
        <v>181</v>
      </c>
      <c r="H3" t="s">
        <v>8</v>
      </c>
      <c r="I3" t="s">
        <v>12</v>
      </c>
      <c r="J3" s="2" t="s">
        <v>52</v>
      </c>
      <c r="K3" s="2" t="s">
        <v>53</v>
      </c>
      <c r="L3" s="47" t="s">
        <v>329</v>
      </c>
    </row>
    <row r="4" spans="1:12" x14ac:dyDescent="0.3">
      <c r="A4" s="19" t="s">
        <v>37</v>
      </c>
      <c r="B4" s="12" t="s">
        <v>35</v>
      </c>
      <c r="C4" s="5" t="s">
        <v>61</v>
      </c>
      <c r="D4" t="s">
        <v>92</v>
      </c>
      <c r="E4" t="s">
        <v>8</v>
      </c>
      <c r="F4" s="5" t="s">
        <v>61</v>
      </c>
      <c r="G4" t="s">
        <v>179</v>
      </c>
      <c r="H4" t="s">
        <v>9</v>
      </c>
      <c r="J4" s="2" t="s">
        <v>46</v>
      </c>
      <c r="K4" s="2" t="s">
        <v>56</v>
      </c>
      <c r="L4" s="47" t="s">
        <v>330</v>
      </c>
    </row>
    <row r="5" spans="1:12" x14ac:dyDescent="0.3">
      <c r="B5" s="13" t="s">
        <v>40</v>
      </c>
      <c r="C5" s="5" t="s">
        <v>62</v>
      </c>
      <c r="D5" t="s">
        <v>93</v>
      </c>
      <c r="E5" t="s">
        <v>9</v>
      </c>
      <c r="F5" s="5" t="s">
        <v>62</v>
      </c>
      <c r="H5" t="s">
        <v>10</v>
      </c>
      <c r="J5" s="2" t="s">
        <v>45</v>
      </c>
      <c r="K5" s="2" t="s">
        <v>57</v>
      </c>
      <c r="L5" s="47" t="s">
        <v>331</v>
      </c>
    </row>
    <row r="6" spans="1:12" x14ac:dyDescent="0.3">
      <c r="B6" s="14" t="s">
        <v>38</v>
      </c>
      <c r="C6" s="5" t="s">
        <v>63</v>
      </c>
      <c r="D6" t="s">
        <v>94</v>
      </c>
      <c r="E6" t="s">
        <v>10</v>
      </c>
      <c r="F6" s="5" t="s">
        <v>63</v>
      </c>
      <c r="J6" s="2" t="s">
        <v>47</v>
      </c>
      <c r="K6" s="2" t="s">
        <v>58</v>
      </c>
      <c r="L6" s="47" t="s">
        <v>332</v>
      </c>
    </row>
    <row r="7" spans="1:12" x14ac:dyDescent="0.3">
      <c r="B7" s="15" t="s">
        <v>36</v>
      </c>
      <c r="C7" s="5" t="s">
        <v>64</v>
      </c>
      <c r="F7" s="5" t="s">
        <v>64</v>
      </c>
      <c r="J7" s="2" t="s">
        <v>48</v>
      </c>
      <c r="K7" s="20" t="s">
        <v>59</v>
      </c>
      <c r="L7" s="47" t="s">
        <v>55</v>
      </c>
    </row>
    <row r="8" spans="1:12" x14ac:dyDescent="0.3">
      <c r="B8" s="16" t="s">
        <v>39</v>
      </c>
      <c r="C8" s="5" t="s">
        <v>65</v>
      </c>
      <c r="D8" s="1" t="s">
        <v>95</v>
      </c>
      <c r="F8" s="7" t="s">
        <v>67</v>
      </c>
      <c r="J8" s="2" t="s">
        <v>49</v>
      </c>
      <c r="K8" s="3" t="s">
        <v>106</v>
      </c>
      <c r="L8" s="47" t="s">
        <v>333</v>
      </c>
    </row>
    <row r="9" spans="1:12" x14ac:dyDescent="0.3">
      <c r="B9" s="17" t="s">
        <v>88</v>
      </c>
      <c r="C9" s="5" t="s">
        <v>66</v>
      </c>
      <c r="D9" s="11" t="s">
        <v>96</v>
      </c>
      <c r="F9" s="7" t="s">
        <v>68</v>
      </c>
      <c r="J9" s="2" t="s">
        <v>50</v>
      </c>
      <c r="L9" s="47" t="s">
        <v>334</v>
      </c>
    </row>
    <row r="10" spans="1:12" x14ac:dyDescent="0.3">
      <c r="C10" s="5" t="s">
        <v>89</v>
      </c>
      <c r="D10" s="12" t="s">
        <v>33</v>
      </c>
      <c r="F10" s="6" t="s">
        <v>70</v>
      </c>
      <c r="J10" s="2" t="s">
        <v>51</v>
      </c>
      <c r="L10" s="47" t="s">
        <v>335</v>
      </c>
    </row>
    <row r="11" spans="1:12" x14ac:dyDescent="0.3">
      <c r="C11" s="7" t="s">
        <v>67</v>
      </c>
      <c r="D11" s="13" t="s">
        <v>97</v>
      </c>
      <c r="F11" s="6" t="s">
        <v>77</v>
      </c>
      <c r="J11" s="2" t="s">
        <v>5</v>
      </c>
      <c r="L11" s="47" t="s">
        <v>336</v>
      </c>
    </row>
    <row r="12" spans="1:12" x14ac:dyDescent="0.3">
      <c r="C12" s="7" t="s">
        <v>68</v>
      </c>
      <c r="D12" s="14" t="s">
        <v>98</v>
      </c>
      <c r="F12" s="8" t="s">
        <v>102</v>
      </c>
      <c r="J12" s="2" t="s">
        <v>53</v>
      </c>
      <c r="L12" s="47" t="s">
        <v>337</v>
      </c>
    </row>
    <row r="13" spans="1:12" x14ac:dyDescent="0.3">
      <c r="C13" s="7" t="s">
        <v>69</v>
      </c>
      <c r="D13" s="15" t="s">
        <v>34</v>
      </c>
      <c r="F13" s="18" t="s">
        <v>42</v>
      </c>
      <c r="J13" s="3" t="s">
        <v>106</v>
      </c>
      <c r="L13" s="47" t="s">
        <v>338</v>
      </c>
    </row>
    <row r="14" spans="1:12" x14ac:dyDescent="0.3">
      <c r="C14" s="6" t="s">
        <v>70</v>
      </c>
      <c r="D14" s="16" t="s">
        <v>99</v>
      </c>
      <c r="F14" s="8" t="s">
        <v>79</v>
      </c>
      <c r="L14" s="47" t="s">
        <v>339</v>
      </c>
    </row>
    <row r="15" spans="1:12" x14ac:dyDescent="0.3">
      <c r="C15" s="6" t="s">
        <v>71</v>
      </c>
      <c r="D15" s="17" t="s">
        <v>100</v>
      </c>
      <c r="F15" s="9" t="s">
        <v>80</v>
      </c>
      <c r="L15" s="47" t="s">
        <v>340</v>
      </c>
    </row>
    <row r="16" spans="1:12" x14ac:dyDescent="0.3">
      <c r="C16" s="6" t="s">
        <v>72</v>
      </c>
      <c r="F16" s="9" t="s">
        <v>101</v>
      </c>
      <c r="L16" s="47" t="s">
        <v>341</v>
      </c>
    </row>
    <row r="17" spans="3:12" x14ac:dyDescent="0.3">
      <c r="C17" s="6" t="s">
        <v>73</v>
      </c>
      <c r="F17" s="10" t="s">
        <v>81</v>
      </c>
      <c r="L17" s="47" t="s">
        <v>342</v>
      </c>
    </row>
    <row r="18" spans="3:12" x14ac:dyDescent="0.3">
      <c r="C18" s="6" t="s">
        <v>74</v>
      </c>
      <c r="F18" s="10" t="s">
        <v>103</v>
      </c>
      <c r="L18" s="46"/>
    </row>
    <row r="19" spans="3:12" x14ac:dyDescent="0.3">
      <c r="C19" s="6" t="s">
        <v>75</v>
      </c>
      <c r="F19" s="17" t="s">
        <v>87</v>
      </c>
      <c r="L19" s="46"/>
    </row>
    <row r="20" spans="3:12" x14ac:dyDescent="0.3">
      <c r="C20" s="6" t="s">
        <v>76</v>
      </c>
      <c r="D20" t="s">
        <v>104</v>
      </c>
      <c r="L20" s="46"/>
    </row>
    <row r="21" spans="3:12" x14ac:dyDescent="0.3">
      <c r="C21" s="6" t="s">
        <v>77</v>
      </c>
      <c r="D21" t="s">
        <v>105</v>
      </c>
    </row>
    <row r="22" spans="3:12" x14ac:dyDescent="0.3">
      <c r="C22" s="8" t="s">
        <v>78</v>
      </c>
    </row>
    <row r="23" spans="3:12" x14ac:dyDescent="0.3">
      <c r="C23" s="8" t="s">
        <v>102</v>
      </c>
    </row>
    <row r="24" spans="3:12" x14ac:dyDescent="0.3">
      <c r="C24" s="18" t="s">
        <v>42</v>
      </c>
    </row>
    <row r="25" spans="3:12" x14ac:dyDescent="0.3">
      <c r="C25" s="8" t="s">
        <v>79</v>
      </c>
    </row>
    <row r="26" spans="3:12" x14ac:dyDescent="0.3">
      <c r="C26" s="9" t="s">
        <v>80</v>
      </c>
    </row>
    <row r="27" spans="3:12" x14ac:dyDescent="0.3">
      <c r="C27" s="9" t="s">
        <v>101</v>
      </c>
    </row>
    <row r="28" spans="3:12" x14ac:dyDescent="0.3">
      <c r="C28" s="10" t="s">
        <v>81</v>
      </c>
      <c r="F28" s="5" t="s">
        <v>46</v>
      </c>
    </row>
    <row r="29" spans="3:12" x14ac:dyDescent="0.3">
      <c r="C29" s="10" t="s">
        <v>103</v>
      </c>
      <c r="F29" s="5" t="s">
        <v>63</v>
      </c>
    </row>
    <row r="30" spans="3:12" x14ac:dyDescent="0.3">
      <c r="C30" s="17" t="s">
        <v>82</v>
      </c>
      <c r="F30" s="6" t="s">
        <v>77</v>
      </c>
    </row>
    <row r="31" spans="3:12" x14ac:dyDescent="0.3">
      <c r="C31" s="17" t="s">
        <v>83</v>
      </c>
      <c r="F31" s="8" t="s">
        <v>79</v>
      </c>
    </row>
    <row r="32" spans="3:12" x14ac:dyDescent="0.3">
      <c r="C32" s="17" t="s">
        <v>87</v>
      </c>
      <c r="F32" s="10" t="s">
        <v>81</v>
      </c>
    </row>
    <row r="33" spans="6:6" x14ac:dyDescent="0.3">
      <c r="F33" s="10" t="s">
        <v>103</v>
      </c>
    </row>
  </sheetData>
  <mergeCells count="1">
    <mergeCell ref="A1:C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9"/>
  <sheetViews>
    <sheetView workbookViewId="0">
      <selection activeCell="A8" sqref="A8"/>
    </sheetView>
  </sheetViews>
  <sheetFormatPr defaultRowHeight="14.4" x14ac:dyDescent="0.3"/>
  <cols>
    <col min="1" max="1" width="20.109375" bestFit="1" customWidth="1"/>
    <col min="2" max="2" width="21.6640625" bestFit="1" customWidth="1"/>
    <col min="3" max="3" width="13.88671875" bestFit="1" customWidth="1"/>
    <col min="4" max="4" width="17.33203125" bestFit="1" customWidth="1"/>
    <col min="5" max="5" width="7.88671875" bestFit="1" customWidth="1"/>
    <col min="6" max="6" width="10.21875" bestFit="1" customWidth="1"/>
  </cols>
  <sheetData>
    <row r="1" spans="1:6" x14ac:dyDescent="0.3">
      <c r="A1" s="42" t="s">
        <v>202</v>
      </c>
      <c r="B1" s="42" t="s">
        <v>203</v>
      </c>
      <c r="C1" s="42" t="s">
        <v>201</v>
      </c>
      <c r="D1" s="42" t="s">
        <v>200</v>
      </c>
      <c r="E1" s="42" t="s">
        <v>204</v>
      </c>
      <c r="F1" s="42" t="s">
        <v>112</v>
      </c>
    </row>
    <row r="2" spans="1:6" x14ac:dyDescent="0.3">
      <c r="A2" s="43" t="s">
        <v>205</v>
      </c>
      <c r="B2" s="43" t="s">
        <v>206</v>
      </c>
      <c r="C2" s="43">
        <v>13397</v>
      </c>
      <c r="D2" s="4" t="s">
        <v>207</v>
      </c>
      <c r="E2" s="4" t="s">
        <v>208</v>
      </c>
      <c r="F2" s="4" t="s">
        <v>209</v>
      </c>
    </row>
    <row r="3" spans="1:6" x14ac:dyDescent="0.3">
      <c r="A3" s="43" t="s">
        <v>210</v>
      </c>
      <c r="B3" s="43" t="s">
        <v>211</v>
      </c>
      <c r="C3" s="43">
        <v>13069</v>
      </c>
      <c r="D3" s="4" t="s">
        <v>207</v>
      </c>
      <c r="E3" s="4" t="s">
        <v>208</v>
      </c>
      <c r="F3" s="4" t="s">
        <v>212</v>
      </c>
    </row>
    <row r="4" spans="1:6" x14ac:dyDescent="0.3">
      <c r="A4" s="43" t="s">
        <v>213</v>
      </c>
      <c r="B4" s="43" t="s">
        <v>214</v>
      </c>
      <c r="C4" s="43">
        <v>13451</v>
      </c>
      <c r="D4" s="4" t="s">
        <v>207</v>
      </c>
      <c r="E4" s="4" t="s">
        <v>208</v>
      </c>
      <c r="F4" s="4" t="s">
        <v>212</v>
      </c>
    </row>
    <row r="5" spans="1:6" x14ac:dyDescent="0.3">
      <c r="A5" s="43" t="s">
        <v>215</v>
      </c>
      <c r="B5" s="43" t="s">
        <v>216</v>
      </c>
      <c r="C5" s="43">
        <v>13579</v>
      </c>
      <c r="D5" s="4" t="s">
        <v>207</v>
      </c>
      <c r="E5" s="4" t="s">
        <v>208</v>
      </c>
      <c r="F5" s="4" t="s">
        <v>212</v>
      </c>
    </row>
    <row r="6" spans="1:6" x14ac:dyDescent="0.3">
      <c r="A6" s="43" t="s">
        <v>217</v>
      </c>
      <c r="B6" s="43" t="s">
        <v>218</v>
      </c>
      <c r="C6" s="43">
        <v>13064</v>
      </c>
      <c r="D6" s="4" t="s">
        <v>207</v>
      </c>
      <c r="E6" s="4" t="s">
        <v>208</v>
      </c>
      <c r="F6" s="4" t="s">
        <v>212</v>
      </c>
    </row>
    <row r="7" spans="1:6" x14ac:dyDescent="0.3">
      <c r="A7" s="43" t="s">
        <v>219</v>
      </c>
      <c r="B7" s="43" t="s">
        <v>220</v>
      </c>
      <c r="C7" s="43">
        <v>12942</v>
      </c>
      <c r="D7" s="4" t="s">
        <v>207</v>
      </c>
      <c r="E7" s="4" t="s">
        <v>208</v>
      </c>
      <c r="F7" s="4" t="s">
        <v>212</v>
      </c>
    </row>
    <row r="8" spans="1:6" x14ac:dyDescent="0.3">
      <c r="A8" s="43" t="s">
        <v>221</v>
      </c>
      <c r="B8" s="43" t="s">
        <v>222</v>
      </c>
      <c r="C8" s="43">
        <v>10604</v>
      </c>
      <c r="D8" s="4" t="s">
        <v>207</v>
      </c>
      <c r="E8" s="4" t="s">
        <v>208</v>
      </c>
      <c r="F8" s="4" t="s">
        <v>212</v>
      </c>
    </row>
    <row r="9" spans="1:6" x14ac:dyDescent="0.3">
      <c r="A9" s="43" t="s">
        <v>223</v>
      </c>
      <c r="B9" s="43" t="s">
        <v>224</v>
      </c>
      <c r="C9" s="43">
        <v>13729</v>
      </c>
      <c r="D9" s="4" t="s">
        <v>207</v>
      </c>
      <c r="E9" s="4" t="s">
        <v>208</v>
      </c>
      <c r="F9" s="4" t="s">
        <v>212</v>
      </c>
    </row>
    <row r="10" spans="1:6" x14ac:dyDescent="0.3">
      <c r="A10" s="43" t="s">
        <v>225</v>
      </c>
      <c r="B10" s="43" t="s">
        <v>226</v>
      </c>
      <c r="C10" s="43">
        <v>14074</v>
      </c>
      <c r="D10" s="4" t="s">
        <v>207</v>
      </c>
      <c r="E10" s="4" t="s">
        <v>227</v>
      </c>
      <c r="F10" s="4" t="s">
        <v>228</v>
      </c>
    </row>
    <row r="11" spans="1:6" x14ac:dyDescent="0.3">
      <c r="A11" s="43" t="s">
        <v>229</v>
      </c>
      <c r="B11" s="43" t="s">
        <v>230</v>
      </c>
      <c r="C11" s="43">
        <v>14263</v>
      </c>
      <c r="D11" s="4" t="s">
        <v>207</v>
      </c>
      <c r="E11" s="4" t="s">
        <v>208</v>
      </c>
      <c r="F11" s="4" t="s">
        <v>228</v>
      </c>
    </row>
    <row r="12" spans="1:6" x14ac:dyDescent="0.3">
      <c r="A12" s="43" t="s">
        <v>231</v>
      </c>
      <c r="B12" s="43" t="s">
        <v>232</v>
      </c>
      <c r="C12" s="43">
        <v>13604</v>
      </c>
      <c r="D12" s="4" t="s">
        <v>207</v>
      </c>
      <c r="E12" s="4" t="s">
        <v>227</v>
      </c>
      <c r="F12" s="4" t="s">
        <v>233</v>
      </c>
    </row>
    <row r="13" spans="1:6" x14ac:dyDescent="0.3">
      <c r="A13" s="43" t="s">
        <v>234</v>
      </c>
      <c r="B13" s="43" t="s">
        <v>235</v>
      </c>
      <c r="C13" s="43">
        <v>14251</v>
      </c>
      <c r="D13" s="4" t="s">
        <v>207</v>
      </c>
      <c r="E13" s="4" t="s">
        <v>227</v>
      </c>
      <c r="F13" s="4" t="s">
        <v>233</v>
      </c>
    </row>
    <row r="14" spans="1:6" x14ac:dyDescent="0.3">
      <c r="A14" s="43" t="s">
        <v>236</v>
      </c>
      <c r="B14" s="43" t="s">
        <v>237</v>
      </c>
      <c r="C14" s="43">
        <v>14749</v>
      </c>
      <c r="D14" s="4" t="s">
        <v>207</v>
      </c>
      <c r="E14" s="4" t="s">
        <v>227</v>
      </c>
      <c r="F14" s="4" t="s">
        <v>233</v>
      </c>
    </row>
    <row r="15" spans="1:6" x14ac:dyDescent="0.3">
      <c r="A15" s="43" t="s">
        <v>238</v>
      </c>
      <c r="B15" s="43" t="s">
        <v>239</v>
      </c>
      <c r="C15" s="43">
        <v>14750</v>
      </c>
      <c r="D15" s="4" t="s">
        <v>207</v>
      </c>
      <c r="E15" s="4" t="s">
        <v>227</v>
      </c>
      <c r="F15" s="4" t="s">
        <v>233</v>
      </c>
    </row>
    <row r="16" spans="1:6" x14ac:dyDescent="0.3">
      <c r="A16" s="43" t="s">
        <v>240</v>
      </c>
      <c r="B16" s="43" t="s">
        <v>241</v>
      </c>
      <c r="C16" s="43">
        <v>14751</v>
      </c>
      <c r="D16" s="4" t="s">
        <v>207</v>
      </c>
      <c r="E16" s="4" t="s">
        <v>208</v>
      </c>
      <c r="F16" s="4" t="s">
        <v>233</v>
      </c>
    </row>
    <row r="17" spans="1:6" x14ac:dyDescent="0.3">
      <c r="A17" s="43" t="s">
        <v>242</v>
      </c>
      <c r="B17" s="43" t="s">
        <v>243</v>
      </c>
      <c r="C17" s="43">
        <v>13286</v>
      </c>
      <c r="D17" s="4" t="s">
        <v>244</v>
      </c>
      <c r="E17" s="4" t="s">
        <v>208</v>
      </c>
      <c r="F17" s="4" t="s">
        <v>209</v>
      </c>
    </row>
    <row r="18" spans="1:6" x14ac:dyDescent="0.3">
      <c r="A18" s="43" t="s">
        <v>245</v>
      </c>
      <c r="B18" s="43" t="s">
        <v>246</v>
      </c>
      <c r="C18" s="43">
        <v>13449</v>
      </c>
      <c r="D18" s="4" t="s">
        <v>244</v>
      </c>
      <c r="E18" s="4" t="s">
        <v>208</v>
      </c>
      <c r="F18" s="4" t="s">
        <v>209</v>
      </c>
    </row>
    <row r="19" spans="1:6" x14ac:dyDescent="0.3">
      <c r="A19" s="43" t="s">
        <v>247</v>
      </c>
      <c r="B19" s="43" t="s">
        <v>248</v>
      </c>
      <c r="C19" s="43">
        <v>14084</v>
      </c>
      <c r="D19" s="4" t="s">
        <v>244</v>
      </c>
      <c r="E19" s="4" t="s">
        <v>227</v>
      </c>
      <c r="F19" s="4" t="s">
        <v>209</v>
      </c>
    </row>
    <row r="20" spans="1:6" x14ac:dyDescent="0.3">
      <c r="A20" s="43" t="s">
        <v>249</v>
      </c>
      <c r="B20" s="43" t="s">
        <v>250</v>
      </c>
      <c r="C20" s="43">
        <v>14077</v>
      </c>
      <c r="D20" s="4" t="s">
        <v>244</v>
      </c>
      <c r="E20" s="4" t="s">
        <v>208</v>
      </c>
      <c r="F20" s="4" t="s">
        <v>209</v>
      </c>
    </row>
    <row r="21" spans="1:6" x14ac:dyDescent="0.3">
      <c r="A21" s="43" t="s">
        <v>251</v>
      </c>
      <c r="B21" s="43" t="s">
        <v>252</v>
      </c>
      <c r="C21" s="43">
        <v>14252</v>
      </c>
      <c r="D21" s="4" t="s">
        <v>244</v>
      </c>
      <c r="E21" s="4" t="s">
        <v>208</v>
      </c>
      <c r="F21" s="4" t="s">
        <v>228</v>
      </c>
    </row>
    <row r="22" spans="1:6" x14ac:dyDescent="0.3">
      <c r="A22" s="43" t="s">
        <v>253</v>
      </c>
      <c r="B22" s="43" t="s">
        <v>254</v>
      </c>
      <c r="C22" s="43">
        <v>14259</v>
      </c>
      <c r="D22" s="4" t="s">
        <v>244</v>
      </c>
      <c r="E22" s="4" t="s">
        <v>227</v>
      </c>
      <c r="F22" s="4" t="s">
        <v>228</v>
      </c>
    </row>
    <row r="23" spans="1:6" x14ac:dyDescent="0.3">
      <c r="A23" s="43" t="s">
        <v>255</v>
      </c>
      <c r="B23" s="43" t="s">
        <v>256</v>
      </c>
      <c r="C23" s="43">
        <v>11484</v>
      </c>
      <c r="D23" s="4" t="s">
        <v>244</v>
      </c>
      <c r="E23" s="4" t="s">
        <v>227</v>
      </c>
      <c r="F23" s="4" t="s">
        <v>228</v>
      </c>
    </row>
    <row r="24" spans="1:6" x14ac:dyDescent="0.3">
      <c r="A24" s="43" t="s">
        <v>257</v>
      </c>
      <c r="B24" s="43" t="s">
        <v>258</v>
      </c>
      <c r="C24" s="43">
        <v>14254</v>
      </c>
      <c r="D24" s="4" t="s">
        <v>244</v>
      </c>
      <c r="E24" s="4" t="s">
        <v>208</v>
      </c>
      <c r="F24" s="4" t="s">
        <v>233</v>
      </c>
    </row>
    <row r="25" spans="1:6" x14ac:dyDescent="0.3">
      <c r="A25" s="43" t="s">
        <v>259</v>
      </c>
      <c r="B25" s="43" t="s">
        <v>260</v>
      </c>
      <c r="C25" s="43">
        <v>13726</v>
      </c>
      <c r="D25" s="4" t="s">
        <v>244</v>
      </c>
      <c r="E25" s="4" t="s">
        <v>227</v>
      </c>
      <c r="F25" s="4" t="s">
        <v>233</v>
      </c>
    </row>
    <row r="26" spans="1:6" x14ac:dyDescent="0.3">
      <c r="A26" s="43" t="s">
        <v>261</v>
      </c>
      <c r="B26" s="43" t="s">
        <v>262</v>
      </c>
      <c r="C26" s="43">
        <v>13735</v>
      </c>
      <c r="D26" s="4" t="s">
        <v>244</v>
      </c>
      <c r="E26" s="4" t="s">
        <v>208</v>
      </c>
      <c r="F26" s="4" t="s">
        <v>233</v>
      </c>
    </row>
    <row r="27" spans="1:6" x14ac:dyDescent="0.3">
      <c r="A27" s="43" t="s">
        <v>263</v>
      </c>
      <c r="B27" s="43" t="s">
        <v>264</v>
      </c>
      <c r="C27" s="43">
        <v>14070</v>
      </c>
      <c r="D27" s="4" t="s">
        <v>244</v>
      </c>
      <c r="E27" s="4" t="s">
        <v>227</v>
      </c>
      <c r="F27" s="4" t="s">
        <v>233</v>
      </c>
    </row>
    <row r="28" spans="1:6" x14ac:dyDescent="0.3">
      <c r="A28" s="43" t="s">
        <v>265</v>
      </c>
      <c r="B28" s="43" t="s">
        <v>266</v>
      </c>
      <c r="C28" s="43">
        <v>14261</v>
      </c>
      <c r="D28" s="4" t="s">
        <v>244</v>
      </c>
      <c r="E28" s="4" t="s">
        <v>227</v>
      </c>
      <c r="F28" s="4" t="s">
        <v>233</v>
      </c>
    </row>
    <row r="29" spans="1:6" x14ac:dyDescent="0.3">
      <c r="A29" s="43" t="s">
        <v>267</v>
      </c>
      <c r="B29" s="43" t="s">
        <v>268</v>
      </c>
      <c r="C29" s="43">
        <v>14265</v>
      </c>
      <c r="D29" s="4" t="s">
        <v>244</v>
      </c>
      <c r="E29" s="4" t="s">
        <v>208</v>
      </c>
      <c r="F29" s="4" t="s">
        <v>233</v>
      </c>
    </row>
    <row r="30" spans="1:6" x14ac:dyDescent="0.3">
      <c r="A30" s="43" t="s">
        <v>269</v>
      </c>
      <c r="B30" s="43" t="s">
        <v>270</v>
      </c>
      <c r="C30" s="43">
        <v>14746</v>
      </c>
      <c r="D30" s="4" t="s">
        <v>244</v>
      </c>
      <c r="E30" s="4" t="s">
        <v>227</v>
      </c>
      <c r="F30" s="4" t="s">
        <v>228</v>
      </c>
    </row>
    <row r="31" spans="1:6" x14ac:dyDescent="0.3">
      <c r="A31" s="43" t="s">
        <v>271</v>
      </c>
      <c r="B31" s="43" t="s">
        <v>272</v>
      </c>
      <c r="C31" s="43">
        <v>10728</v>
      </c>
      <c r="D31" s="4" t="s">
        <v>244</v>
      </c>
      <c r="E31" s="4" t="s">
        <v>208</v>
      </c>
      <c r="F31" s="4" t="s">
        <v>233</v>
      </c>
    </row>
    <row r="32" spans="1:6" x14ac:dyDescent="0.3">
      <c r="A32" s="43" t="s">
        <v>273</v>
      </c>
      <c r="B32" s="43" t="s">
        <v>274</v>
      </c>
      <c r="C32" s="43">
        <v>14745</v>
      </c>
      <c r="D32" s="4" t="s">
        <v>244</v>
      </c>
      <c r="E32" s="4" t="s">
        <v>208</v>
      </c>
      <c r="F32" s="4" t="s">
        <v>233</v>
      </c>
    </row>
    <row r="33" spans="1:6" x14ac:dyDescent="0.3">
      <c r="A33" s="43" t="s">
        <v>275</v>
      </c>
      <c r="B33" s="43" t="s">
        <v>276</v>
      </c>
      <c r="C33" s="43">
        <v>14747</v>
      </c>
      <c r="D33" s="4" t="s">
        <v>244</v>
      </c>
      <c r="E33" s="4" t="s">
        <v>227</v>
      </c>
      <c r="F33" s="4" t="s">
        <v>233</v>
      </c>
    </row>
    <row r="34" spans="1:6" x14ac:dyDescent="0.3">
      <c r="A34" s="43" t="s">
        <v>277</v>
      </c>
      <c r="B34" s="43" t="s">
        <v>278</v>
      </c>
      <c r="C34" s="43">
        <v>14081</v>
      </c>
      <c r="D34" s="4" t="s">
        <v>279</v>
      </c>
      <c r="E34" s="4" t="s">
        <v>227</v>
      </c>
      <c r="F34" s="4" t="s">
        <v>228</v>
      </c>
    </row>
    <row r="35" spans="1:6" x14ac:dyDescent="0.3">
      <c r="A35" s="43" t="s">
        <v>280</v>
      </c>
      <c r="B35" s="43" t="s">
        <v>281</v>
      </c>
      <c r="C35" s="43">
        <v>13450</v>
      </c>
      <c r="D35" s="4" t="s">
        <v>279</v>
      </c>
      <c r="E35" s="4" t="s">
        <v>227</v>
      </c>
      <c r="F35" s="4" t="s">
        <v>228</v>
      </c>
    </row>
    <row r="36" spans="1:6" x14ac:dyDescent="0.3">
      <c r="A36" s="43" t="s">
        <v>282</v>
      </c>
      <c r="B36" s="43" t="s">
        <v>283</v>
      </c>
      <c r="C36" s="43">
        <v>14267</v>
      </c>
      <c r="D36" s="4" t="s">
        <v>279</v>
      </c>
      <c r="E36" s="4" t="s">
        <v>227</v>
      </c>
      <c r="F36" s="4" t="s">
        <v>228</v>
      </c>
    </row>
    <row r="37" spans="1:6" x14ac:dyDescent="0.3">
      <c r="A37" s="43" t="s">
        <v>284</v>
      </c>
      <c r="B37" s="43" t="s">
        <v>285</v>
      </c>
      <c r="C37" s="43">
        <v>14255</v>
      </c>
      <c r="D37" s="4" t="s">
        <v>279</v>
      </c>
      <c r="E37" s="4" t="s">
        <v>208</v>
      </c>
      <c r="F37" s="4" t="s">
        <v>228</v>
      </c>
    </row>
    <row r="38" spans="1:6" x14ac:dyDescent="0.3">
      <c r="A38" s="43" t="s">
        <v>286</v>
      </c>
      <c r="B38" s="43" t="s">
        <v>287</v>
      </c>
      <c r="C38" s="43">
        <v>13246</v>
      </c>
      <c r="D38" s="4" t="s">
        <v>279</v>
      </c>
      <c r="E38" s="4" t="s">
        <v>208</v>
      </c>
      <c r="F38" s="4" t="s">
        <v>228</v>
      </c>
    </row>
    <row r="39" spans="1:6" x14ac:dyDescent="0.3">
      <c r="A39" s="43" t="s">
        <v>288</v>
      </c>
      <c r="B39" s="43" t="s">
        <v>289</v>
      </c>
      <c r="C39" s="43">
        <v>14258</v>
      </c>
      <c r="D39" s="4" t="s">
        <v>279</v>
      </c>
      <c r="E39" s="4" t="s">
        <v>208</v>
      </c>
      <c r="F39" s="4" t="s">
        <v>233</v>
      </c>
    </row>
    <row r="40" spans="1:6" x14ac:dyDescent="0.3">
      <c r="A40" s="43" t="s">
        <v>290</v>
      </c>
      <c r="B40" s="43" t="s">
        <v>291</v>
      </c>
      <c r="C40" s="43">
        <v>14073</v>
      </c>
      <c r="D40" s="4" t="s">
        <v>279</v>
      </c>
      <c r="E40" s="4" t="s">
        <v>208</v>
      </c>
      <c r="F40" s="4" t="s">
        <v>233</v>
      </c>
    </row>
    <row r="41" spans="1:6" x14ac:dyDescent="0.3">
      <c r="A41" s="43" t="s">
        <v>292</v>
      </c>
      <c r="B41" s="43" t="s">
        <v>293</v>
      </c>
      <c r="C41" s="43">
        <v>13725</v>
      </c>
      <c r="D41" s="4" t="s">
        <v>279</v>
      </c>
      <c r="E41" s="4" t="s">
        <v>227</v>
      </c>
      <c r="F41" s="4" t="s">
        <v>233</v>
      </c>
    </row>
    <row r="42" spans="1:6" x14ac:dyDescent="0.3">
      <c r="A42" s="43" t="s">
        <v>294</v>
      </c>
      <c r="B42" s="43" t="s">
        <v>295</v>
      </c>
      <c r="C42" s="43">
        <v>14080</v>
      </c>
      <c r="D42" s="4" t="s">
        <v>279</v>
      </c>
      <c r="E42" s="4" t="s">
        <v>227</v>
      </c>
      <c r="F42" s="4" t="s">
        <v>233</v>
      </c>
    </row>
    <row r="43" spans="1:6" x14ac:dyDescent="0.3">
      <c r="A43" s="43" t="s">
        <v>296</v>
      </c>
      <c r="B43" s="43" t="s">
        <v>297</v>
      </c>
      <c r="C43" s="43">
        <v>14253</v>
      </c>
      <c r="D43" s="4" t="s">
        <v>279</v>
      </c>
      <c r="E43" s="4" t="s">
        <v>227</v>
      </c>
      <c r="F43" s="4" t="s">
        <v>233</v>
      </c>
    </row>
    <row r="44" spans="1:6" x14ac:dyDescent="0.3">
      <c r="A44" s="43" t="s">
        <v>298</v>
      </c>
      <c r="B44" s="43" t="s">
        <v>299</v>
      </c>
      <c r="C44" s="43">
        <v>14262</v>
      </c>
      <c r="D44" s="4" t="s">
        <v>279</v>
      </c>
      <c r="E44" s="4" t="s">
        <v>227</v>
      </c>
      <c r="F44" s="4" t="s">
        <v>233</v>
      </c>
    </row>
    <row r="45" spans="1:6" x14ac:dyDescent="0.3">
      <c r="A45" s="43" t="s">
        <v>300</v>
      </c>
      <c r="B45" s="43" t="s">
        <v>301</v>
      </c>
      <c r="C45" s="43">
        <v>14017</v>
      </c>
      <c r="D45" s="4" t="s">
        <v>279</v>
      </c>
      <c r="E45" s="4" t="s">
        <v>227</v>
      </c>
      <c r="F45" s="4" t="s">
        <v>228</v>
      </c>
    </row>
    <row r="46" spans="1:6" x14ac:dyDescent="0.3">
      <c r="A46" s="43" t="s">
        <v>302</v>
      </c>
      <c r="B46" s="43" t="s">
        <v>303</v>
      </c>
      <c r="C46" s="43">
        <v>14748</v>
      </c>
      <c r="D46" s="4" t="s">
        <v>279</v>
      </c>
      <c r="E46" s="4" t="s">
        <v>208</v>
      </c>
      <c r="F46" s="4" t="s">
        <v>233</v>
      </c>
    </row>
    <row r="47" spans="1:6" x14ac:dyDescent="0.3">
      <c r="A47" s="43" t="s">
        <v>304</v>
      </c>
      <c r="B47" s="43" t="s">
        <v>305</v>
      </c>
      <c r="C47" s="43">
        <v>14198</v>
      </c>
      <c r="D47" s="4" t="s">
        <v>279</v>
      </c>
      <c r="E47" s="4" t="s">
        <v>227</v>
      </c>
      <c r="F47" s="4" t="s">
        <v>233</v>
      </c>
    </row>
    <row r="48" spans="1:6" x14ac:dyDescent="0.3">
      <c r="A48" s="43" t="s">
        <v>306</v>
      </c>
      <c r="B48" s="43" t="s">
        <v>307</v>
      </c>
      <c r="C48" s="43">
        <v>14753</v>
      </c>
      <c r="D48" s="4" t="s">
        <v>279</v>
      </c>
      <c r="E48" s="4" t="s">
        <v>227</v>
      </c>
      <c r="F48" s="4" t="s">
        <v>233</v>
      </c>
    </row>
    <row r="49" spans="1:6" x14ac:dyDescent="0.3">
      <c r="A49" s="43" t="s">
        <v>308</v>
      </c>
      <c r="B49" s="43" t="s">
        <v>309</v>
      </c>
      <c r="C49" s="43">
        <v>13383</v>
      </c>
      <c r="D49" s="4" t="e">
        <v>#N/A</v>
      </c>
      <c r="E49" s="4" t="e">
        <v>#N/A</v>
      </c>
      <c r="F49" s="4" t="e">
        <v>#N/A</v>
      </c>
    </row>
  </sheetData>
  <autoFilter ref="A1:B49" xr:uid="{00000000-0009-0000-0000-000001000000}"/>
  <conditionalFormatting sqref="B28">
    <cfRule type="duplicateValues" dxfId="35" priority="3"/>
  </conditionalFormatting>
  <conditionalFormatting sqref="A28">
    <cfRule type="duplicateValues" dxfId="34" priority="2"/>
  </conditionalFormatting>
  <conditionalFormatting sqref="C28">
    <cfRule type="duplicateValues" dxfId="33"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C36"/>
  <sheetViews>
    <sheetView zoomScale="70" zoomScaleNormal="70" workbookViewId="0">
      <selection activeCell="B4" sqref="B4"/>
    </sheetView>
  </sheetViews>
  <sheetFormatPr defaultColWidth="31.88671875" defaultRowHeight="14.4" x14ac:dyDescent="0.3"/>
  <cols>
    <col min="1" max="1" width="26" bestFit="1" customWidth="1"/>
    <col min="2" max="2" width="72.33203125" bestFit="1" customWidth="1"/>
    <col min="3" max="3" width="218.77734375" style="35" bestFit="1" customWidth="1"/>
  </cols>
  <sheetData>
    <row r="1" spans="1:3" ht="15.6" x14ac:dyDescent="0.3">
      <c r="A1" s="29" t="s">
        <v>183</v>
      </c>
      <c r="B1" s="29" t="s">
        <v>142</v>
      </c>
      <c r="C1" s="39" t="s">
        <v>143</v>
      </c>
    </row>
    <row r="2" spans="1:3" ht="24" customHeight="1" x14ac:dyDescent="0.3">
      <c r="A2" s="79" t="s">
        <v>184</v>
      </c>
      <c r="B2" s="30" t="s">
        <v>144</v>
      </c>
      <c r="C2" s="33" t="s">
        <v>145</v>
      </c>
    </row>
    <row r="3" spans="1:3" ht="24" customHeight="1" x14ac:dyDescent="0.3">
      <c r="A3" s="79"/>
      <c r="B3" s="30" t="s">
        <v>114</v>
      </c>
      <c r="C3" s="33" t="s">
        <v>146</v>
      </c>
    </row>
    <row r="4" spans="1:3" ht="36" customHeight="1" x14ac:dyDescent="0.3">
      <c r="A4" s="79"/>
      <c r="B4" s="30" t="s">
        <v>115</v>
      </c>
      <c r="C4" s="34" t="s">
        <v>147</v>
      </c>
    </row>
    <row r="5" spans="1:3" ht="24" customHeight="1" x14ac:dyDescent="0.3">
      <c r="A5" s="37" t="s">
        <v>116</v>
      </c>
      <c r="B5" s="30" t="s">
        <v>131</v>
      </c>
      <c r="C5" s="33" t="s">
        <v>185</v>
      </c>
    </row>
    <row r="6" spans="1:3" ht="14.4" customHeight="1" x14ac:dyDescent="0.3">
      <c r="A6" s="80" t="s">
        <v>186</v>
      </c>
      <c r="B6" s="38" t="s">
        <v>132</v>
      </c>
      <c r="C6" s="33" t="s">
        <v>148</v>
      </c>
    </row>
    <row r="7" spans="1:3" ht="36" customHeight="1" x14ac:dyDescent="0.3">
      <c r="A7" s="81"/>
      <c r="B7" s="30" t="s">
        <v>187</v>
      </c>
      <c r="C7" s="33" t="s">
        <v>188</v>
      </c>
    </row>
    <row r="8" spans="1:3" ht="36" customHeight="1" x14ac:dyDescent="0.3">
      <c r="A8" s="81"/>
      <c r="B8" s="30" t="s">
        <v>133</v>
      </c>
      <c r="C8" s="34" t="s">
        <v>149</v>
      </c>
    </row>
    <row r="9" spans="1:3" ht="24" customHeight="1" x14ac:dyDescent="0.3">
      <c r="A9" s="81"/>
      <c r="B9" s="30" t="s">
        <v>134</v>
      </c>
      <c r="C9" s="33" t="s">
        <v>189</v>
      </c>
    </row>
    <row r="10" spans="1:3" ht="36" customHeight="1" x14ac:dyDescent="0.3">
      <c r="A10" s="81"/>
      <c r="B10" s="30" t="s">
        <v>135</v>
      </c>
      <c r="C10" s="34" t="s">
        <v>150</v>
      </c>
    </row>
    <row r="11" spans="1:3" ht="24" customHeight="1" x14ac:dyDescent="0.3">
      <c r="A11" s="81"/>
      <c r="B11" s="30" t="s">
        <v>151</v>
      </c>
      <c r="C11" s="34" t="s">
        <v>152</v>
      </c>
    </row>
    <row r="12" spans="1:3" ht="24" customHeight="1" x14ac:dyDescent="0.3">
      <c r="A12" s="81"/>
      <c r="B12" s="30" t="s">
        <v>136</v>
      </c>
      <c r="C12" s="34" t="s">
        <v>153</v>
      </c>
    </row>
    <row r="13" spans="1:3" x14ac:dyDescent="0.3">
      <c r="A13" s="81"/>
      <c r="B13" s="32" t="s">
        <v>137</v>
      </c>
      <c r="C13" s="34" t="s">
        <v>154</v>
      </c>
    </row>
    <row r="14" spans="1:3" x14ac:dyDescent="0.3">
      <c r="A14" s="81"/>
      <c r="B14" s="32" t="s">
        <v>138</v>
      </c>
      <c r="C14" s="34" t="s">
        <v>155</v>
      </c>
    </row>
    <row r="15" spans="1:3" x14ac:dyDescent="0.3">
      <c r="A15" s="81"/>
      <c r="B15" s="32" t="s">
        <v>139</v>
      </c>
      <c r="C15" s="34" t="s">
        <v>190</v>
      </c>
    </row>
    <row r="16" spans="1:3" x14ac:dyDescent="0.3">
      <c r="A16" s="81"/>
      <c r="B16" s="32" t="s">
        <v>117</v>
      </c>
      <c r="C16" s="34" t="s">
        <v>156</v>
      </c>
    </row>
    <row r="17" spans="1:3" ht="14.4" customHeight="1" x14ac:dyDescent="0.3">
      <c r="A17" s="82" t="s">
        <v>191</v>
      </c>
      <c r="B17" s="31" t="s">
        <v>140</v>
      </c>
      <c r="C17" s="33" t="s">
        <v>157</v>
      </c>
    </row>
    <row r="18" spans="1:3" ht="14.4" customHeight="1" x14ac:dyDescent="0.3">
      <c r="A18" s="83"/>
      <c r="B18" s="31" t="s">
        <v>158</v>
      </c>
      <c r="C18" s="33" t="s">
        <v>159</v>
      </c>
    </row>
    <row r="19" spans="1:3" ht="14.4" customHeight="1" x14ac:dyDescent="0.3">
      <c r="A19" s="83"/>
      <c r="B19" s="31" t="s">
        <v>118</v>
      </c>
      <c r="C19" s="33" t="s">
        <v>160</v>
      </c>
    </row>
    <row r="20" spans="1:3" ht="14.4" customHeight="1" x14ac:dyDescent="0.3">
      <c r="A20" s="84"/>
      <c r="B20" s="31" t="s">
        <v>175</v>
      </c>
      <c r="C20" s="33" t="s">
        <v>176</v>
      </c>
    </row>
    <row r="21" spans="1:3" x14ac:dyDescent="0.3">
      <c r="A21" s="85" t="s">
        <v>119</v>
      </c>
      <c r="B21" s="32" t="s">
        <v>120</v>
      </c>
      <c r="C21" s="34" t="s">
        <v>161</v>
      </c>
    </row>
    <row r="22" spans="1:3" x14ac:dyDescent="0.3">
      <c r="A22" s="85"/>
      <c r="B22" s="32" t="s">
        <v>121</v>
      </c>
      <c r="C22" s="34" t="s">
        <v>162</v>
      </c>
    </row>
    <row r="23" spans="1:3" x14ac:dyDescent="0.3">
      <c r="A23" s="85"/>
      <c r="B23" s="32" t="s">
        <v>192</v>
      </c>
      <c r="C23" s="34" t="s">
        <v>193</v>
      </c>
    </row>
    <row r="24" spans="1:3" x14ac:dyDescent="0.3">
      <c r="A24" s="85"/>
      <c r="B24" s="32" t="s">
        <v>163</v>
      </c>
      <c r="C24" s="34" t="s">
        <v>164</v>
      </c>
    </row>
    <row r="25" spans="1:3" x14ac:dyDescent="0.3">
      <c r="A25" s="82" t="s">
        <v>122</v>
      </c>
      <c r="B25" s="38" t="s">
        <v>123</v>
      </c>
      <c r="C25" s="34" t="s">
        <v>165</v>
      </c>
    </row>
    <row r="26" spans="1:3" x14ac:dyDescent="0.3">
      <c r="A26" s="83"/>
      <c r="B26" s="38" t="s">
        <v>124</v>
      </c>
      <c r="C26" s="34" t="s">
        <v>167</v>
      </c>
    </row>
    <row r="27" spans="1:3" ht="14.4" customHeight="1" x14ac:dyDescent="0.3">
      <c r="A27" s="83"/>
      <c r="B27" s="38" t="s">
        <v>125</v>
      </c>
      <c r="C27" s="33" t="s">
        <v>167</v>
      </c>
    </row>
    <row r="28" spans="1:3" ht="14.4" customHeight="1" x14ac:dyDescent="0.3">
      <c r="A28" s="84"/>
      <c r="B28" s="38" t="s">
        <v>141</v>
      </c>
      <c r="C28" s="33" t="s">
        <v>194</v>
      </c>
    </row>
    <row r="29" spans="1:3" x14ac:dyDescent="0.3">
      <c r="A29" s="82" t="s">
        <v>195</v>
      </c>
      <c r="B29" s="38" t="s">
        <v>126</v>
      </c>
      <c r="C29" s="34" t="s">
        <v>166</v>
      </c>
    </row>
    <row r="30" spans="1:3" ht="14.4" customHeight="1" x14ac:dyDescent="0.3">
      <c r="A30" s="83"/>
      <c r="B30" s="38" t="s">
        <v>127</v>
      </c>
      <c r="C30" s="33" t="s">
        <v>196</v>
      </c>
    </row>
    <row r="31" spans="1:3" ht="14.4" customHeight="1" x14ac:dyDescent="0.3">
      <c r="A31" s="84"/>
      <c r="B31" s="38" t="s">
        <v>128</v>
      </c>
      <c r="C31" s="33" t="s">
        <v>197</v>
      </c>
    </row>
    <row r="32" spans="1:3" ht="36" customHeight="1" x14ac:dyDescent="0.3">
      <c r="A32" s="85" t="s">
        <v>3</v>
      </c>
      <c r="B32" s="30" t="s">
        <v>125</v>
      </c>
      <c r="C32" s="34" t="s">
        <v>168</v>
      </c>
    </row>
    <row r="33" spans="1:3" ht="24" customHeight="1" x14ac:dyDescent="0.3">
      <c r="A33" s="85"/>
      <c r="B33" s="30" t="s">
        <v>169</v>
      </c>
      <c r="C33" s="33" t="s">
        <v>170</v>
      </c>
    </row>
    <row r="34" spans="1:3" ht="36" customHeight="1" x14ac:dyDescent="0.3">
      <c r="A34" s="85"/>
      <c r="B34" s="30" t="s">
        <v>129</v>
      </c>
      <c r="C34" s="33" t="s">
        <v>171</v>
      </c>
    </row>
    <row r="35" spans="1:3" ht="36" customHeight="1" x14ac:dyDescent="0.3">
      <c r="A35" s="85"/>
      <c r="B35" s="30" t="s">
        <v>130</v>
      </c>
      <c r="C35" s="34" t="s">
        <v>172</v>
      </c>
    </row>
    <row r="36" spans="1:3" ht="24" customHeight="1" x14ac:dyDescent="0.3">
      <c r="A36" s="85"/>
      <c r="B36" s="30" t="s">
        <v>173</v>
      </c>
      <c r="C36" s="33" t="s">
        <v>174</v>
      </c>
    </row>
  </sheetData>
  <mergeCells count="7">
    <mergeCell ref="A2:A4"/>
    <mergeCell ref="A6:A16"/>
    <mergeCell ref="A29:A31"/>
    <mergeCell ref="A32:A36"/>
    <mergeCell ref="A25:A28"/>
    <mergeCell ref="A21:A24"/>
    <mergeCell ref="A17:A2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92D050"/>
  </sheetPr>
  <dimension ref="A1:G59"/>
  <sheetViews>
    <sheetView showGridLines="0" topLeftCell="C1" zoomScale="85" zoomScaleNormal="85" workbookViewId="0">
      <selection activeCell="E55" sqref="E55"/>
    </sheetView>
  </sheetViews>
  <sheetFormatPr defaultRowHeight="14.4" x14ac:dyDescent="0.3"/>
  <cols>
    <col min="1" max="1" width="23.33203125" hidden="1" customWidth="1"/>
    <col min="2" max="2" width="7.33203125" hidden="1" customWidth="1"/>
    <col min="3" max="3" width="30" style="28" bestFit="1" customWidth="1"/>
    <col min="4" max="4" width="94.77734375" bestFit="1" customWidth="1"/>
    <col min="5" max="5" width="67.21875" style="21" bestFit="1" customWidth="1"/>
    <col min="9" max="9" width="59" bestFit="1" customWidth="1"/>
  </cols>
  <sheetData>
    <row r="1" spans="1:7" x14ac:dyDescent="0.3">
      <c r="C1" s="92"/>
      <c r="D1" s="22" t="s">
        <v>111</v>
      </c>
      <c r="E1" s="50">
        <f ca="1">TODAY()</f>
        <v>46222</v>
      </c>
    </row>
    <row r="2" spans="1:7" x14ac:dyDescent="0.3">
      <c r="C2" s="92"/>
      <c r="D2" s="22" t="s">
        <v>313</v>
      </c>
      <c r="E2" s="49"/>
    </row>
    <row r="3" spans="1:7" x14ac:dyDescent="0.3">
      <c r="C3" s="92"/>
      <c r="D3" s="22" t="s">
        <v>322</v>
      </c>
      <c r="E3" s="49"/>
    </row>
    <row r="4" spans="1:7" x14ac:dyDescent="0.3">
      <c r="C4" s="92"/>
      <c r="D4" s="22" t="s">
        <v>319</v>
      </c>
      <c r="E4" s="51"/>
    </row>
    <row r="5" spans="1:7" x14ac:dyDescent="0.3">
      <c r="C5" s="92"/>
      <c r="D5" s="22" t="s">
        <v>320</v>
      </c>
      <c r="E5" s="49"/>
    </row>
    <row r="6" spans="1:7" x14ac:dyDescent="0.3">
      <c r="C6" s="92"/>
      <c r="D6" s="22" t="s">
        <v>323</v>
      </c>
      <c r="E6" s="49"/>
      <c r="G6" s="49"/>
    </row>
    <row r="7" spans="1:7" x14ac:dyDescent="0.3">
      <c r="C7" s="92"/>
      <c r="D7" s="22" t="s">
        <v>321</v>
      </c>
      <c r="E7" s="49"/>
    </row>
    <row r="8" spans="1:7" x14ac:dyDescent="0.3">
      <c r="C8" s="92"/>
      <c r="D8" s="22" t="s">
        <v>351</v>
      </c>
      <c r="E8" s="49"/>
    </row>
    <row r="9" spans="1:7" x14ac:dyDescent="0.3">
      <c r="C9" s="92"/>
      <c r="D9" s="22" t="s">
        <v>350</v>
      </c>
      <c r="E9" s="49"/>
    </row>
    <row r="10" spans="1:7" x14ac:dyDescent="0.3">
      <c r="C10" s="92"/>
      <c r="D10" s="22" t="s">
        <v>110</v>
      </c>
      <c r="E10" s="49"/>
    </row>
    <row r="11" spans="1:7" ht="14.25" customHeight="1" x14ac:dyDescent="0.3">
      <c r="A11" s="94" t="s">
        <v>327</v>
      </c>
      <c r="B11" s="93">
        <f>COUNTIF(E11:E16,"No")</f>
        <v>0</v>
      </c>
      <c r="C11" s="27" t="s">
        <v>0</v>
      </c>
      <c r="D11" s="23" t="s">
        <v>328</v>
      </c>
      <c r="E11" s="49"/>
    </row>
    <row r="12" spans="1:7" ht="14.25" customHeight="1" x14ac:dyDescent="0.3">
      <c r="A12" s="94"/>
      <c r="B12" s="93"/>
      <c r="C12" s="27" t="s">
        <v>0</v>
      </c>
      <c r="D12" s="23" t="s">
        <v>329</v>
      </c>
      <c r="E12" s="49"/>
    </row>
    <row r="13" spans="1:7" ht="14.25" customHeight="1" x14ac:dyDescent="0.3">
      <c r="A13" s="94"/>
      <c r="B13" s="93"/>
      <c r="C13" s="27" t="s">
        <v>0</v>
      </c>
      <c r="D13" s="23" t="s">
        <v>330</v>
      </c>
      <c r="E13" s="49"/>
    </row>
    <row r="14" spans="1:7" ht="14.25" customHeight="1" x14ac:dyDescent="0.3">
      <c r="A14" s="94"/>
      <c r="B14" s="93"/>
      <c r="C14" s="27" t="s">
        <v>0</v>
      </c>
      <c r="D14" s="23" t="s">
        <v>343</v>
      </c>
      <c r="E14" s="49"/>
    </row>
    <row r="15" spans="1:7" ht="14.25" customHeight="1" x14ac:dyDescent="0.3">
      <c r="A15" s="94"/>
      <c r="B15" s="93"/>
      <c r="C15" s="27" t="s">
        <v>0</v>
      </c>
      <c r="D15" s="23" t="s">
        <v>344</v>
      </c>
      <c r="E15" s="49"/>
    </row>
    <row r="16" spans="1:7" ht="14.25" customHeight="1" x14ac:dyDescent="0.3">
      <c r="A16" s="94"/>
      <c r="B16" s="93"/>
      <c r="C16" s="27" t="s">
        <v>0</v>
      </c>
      <c r="D16" s="23" t="s">
        <v>55</v>
      </c>
      <c r="E16" s="49"/>
    </row>
    <row r="17" spans="1:6" ht="14.25" customHeight="1" x14ac:dyDescent="0.3">
      <c r="A17" s="86" t="s">
        <v>316</v>
      </c>
      <c r="B17" s="89">
        <f>COUNTIF(E17:E23,"Yes")</f>
        <v>0</v>
      </c>
      <c r="C17" s="41" t="s">
        <v>1</v>
      </c>
      <c r="D17" s="23" t="s">
        <v>336</v>
      </c>
      <c r="E17" s="49"/>
    </row>
    <row r="18" spans="1:6" ht="14.25" customHeight="1" x14ac:dyDescent="0.3">
      <c r="A18" s="87"/>
      <c r="B18" s="90"/>
      <c r="C18" s="41" t="s">
        <v>1</v>
      </c>
      <c r="D18" s="23" t="s">
        <v>345</v>
      </c>
      <c r="E18" s="49"/>
    </row>
    <row r="19" spans="1:6" ht="14.25" customHeight="1" x14ac:dyDescent="0.3">
      <c r="A19" s="87"/>
      <c r="B19" s="90"/>
      <c r="C19" s="41" t="s">
        <v>1</v>
      </c>
      <c r="D19" s="23" t="s">
        <v>338</v>
      </c>
      <c r="E19" s="49"/>
    </row>
    <row r="20" spans="1:6" ht="14.25" customHeight="1" x14ac:dyDescent="0.3">
      <c r="A20" s="87"/>
      <c r="B20" s="90"/>
      <c r="C20" s="41" t="s">
        <v>1</v>
      </c>
      <c r="D20" s="23" t="s">
        <v>346</v>
      </c>
      <c r="E20" s="49"/>
    </row>
    <row r="21" spans="1:6" ht="14.25" customHeight="1" x14ac:dyDescent="0.3">
      <c r="A21" s="87"/>
      <c r="B21" s="90"/>
      <c r="C21" s="41" t="s">
        <v>1</v>
      </c>
      <c r="D21" s="23" t="s">
        <v>347</v>
      </c>
      <c r="E21" s="49"/>
    </row>
    <row r="22" spans="1:6" ht="14.25" customHeight="1" x14ac:dyDescent="0.3">
      <c r="A22" s="87"/>
      <c r="B22" s="90"/>
      <c r="C22" s="41" t="s">
        <v>1</v>
      </c>
      <c r="D22" s="23" t="s">
        <v>337</v>
      </c>
      <c r="E22" s="49"/>
    </row>
    <row r="23" spans="1:6" ht="14.25" customHeight="1" x14ac:dyDescent="0.3">
      <c r="A23" s="88"/>
      <c r="B23" s="91"/>
      <c r="C23" s="41" t="s">
        <v>1</v>
      </c>
      <c r="D23" s="23" t="s">
        <v>339</v>
      </c>
      <c r="E23" s="49"/>
    </row>
    <row r="24" spans="1:6" ht="14.25" customHeight="1" x14ac:dyDescent="0.3">
      <c r="A24" s="86" t="s">
        <v>317</v>
      </c>
      <c r="B24" s="89">
        <f>COUNTIF(E24:E26,"Yes")</f>
        <v>0</v>
      </c>
      <c r="C24" s="40" t="s">
        <v>2</v>
      </c>
      <c r="D24" s="23" t="s">
        <v>326</v>
      </c>
      <c r="E24" s="49"/>
    </row>
    <row r="25" spans="1:6" ht="14.25" customHeight="1" x14ac:dyDescent="0.3">
      <c r="A25" s="87"/>
      <c r="B25" s="90"/>
      <c r="C25" s="40" t="s">
        <v>2</v>
      </c>
      <c r="D25" s="23" t="s">
        <v>341</v>
      </c>
      <c r="E25" s="49"/>
    </row>
    <row r="26" spans="1:6" ht="14.25" customHeight="1" x14ac:dyDescent="0.3">
      <c r="A26" s="88"/>
      <c r="B26" s="91"/>
      <c r="C26" s="40" t="s">
        <v>2</v>
      </c>
      <c r="D26" s="23" t="s">
        <v>348</v>
      </c>
      <c r="E26" s="49"/>
    </row>
    <row r="27" spans="1:6" ht="15.6" x14ac:dyDescent="0.3">
      <c r="A27" s="45" t="s">
        <v>318</v>
      </c>
      <c r="B27" s="44">
        <f>COUNTIF(E27,"Yes")</f>
        <v>0</v>
      </c>
      <c r="C27" s="41" t="s">
        <v>314</v>
      </c>
      <c r="D27" s="23" t="s">
        <v>349</v>
      </c>
      <c r="E27" s="49"/>
    </row>
    <row r="28" spans="1:6" ht="12" customHeight="1" x14ac:dyDescent="0.3">
      <c r="B28" s="48">
        <f>IF(AND(B17=7,B24=3,B27=1),100,30)</f>
        <v>30</v>
      </c>
      <c r="C28" s="27" t="s">
        <v>315</v>
      </c>
      <c r="D28" s="24" t="s">
        <v>177</v>
      </c>
      <c r="E28" s="49"/>
    </row>
    <row r="29" spans="1:6" x14ac:dyDescent="0.3">
      <c r="C29" s="27" t="s">
        <v>315</v>
      </c>
      <c r="D29" s="24" t="s">
        <v>18</v>
      </c>
      <c r="E29" s="49"/>
    </row>
    <row r="30" spans="1:6" x14ac:dyDescent="0.3">
      <c r="C30" s="27" t="s">
        <v>315</v>
      </c>
      <c r="D30" s="24" t="s">
        <v>19</v>
      </c>
      <c r="E30" s="49"/>
    </row>
    <row r="31" spans="1:6" x14ac:dyDescent="0.3">
      <c r="C31" s="27" t="s">
        <v>315</v>
      </c>
      <c r="D31" s="24" t="s">
        <v>86</v>
      </c>
      <c r="E31" s="49"/>
      <c r="F31" t="s">
        <v>352</v>
      </c>
    </row>
    <row r="32" spans="1:6" x14ac:dyDescent="0.3">
      <c r="C32" s="27" t="s">
        <v>315</v>
      </c>
      <c r="D32" s="36" t="s">
        <v>324</v>
      </c>
      <c r="E32" s="49"/>
    </row>
    <row r="33" spans="3:5" ht="14.25" customHeight="1" x14ac:dyDescent="0.3">
      <c r="C33" s="27" t="s">
        <v>315</v>
      </c>
      <c r="D33" s="36" t="s">
        <v>325</v>
      </c>
      <c r="E33" s="77"/>
    </row>
    <row r="34" spans="3:5" ht="14.25" customHeight="1" x14ac:dyDescent="0.3">
      <c r="C34" s="27" t="s">
        <v>315</v>
      </c>
      <c r="D34" s="24" t="s">
        <v>310</v>
      </c>
      <c r="E34" s="49"/>
    </row>
    <row r="35" spans="3:5" ht="14.25" customHeight="1" x14ac:dyDescent="0.3">
      <c r="C35" s="27" t="s">
        <v>315</v>
      </c>
      <c r="D35" s="24" t="s">
        <v>17</v>
      </c>
      <c r="E35" s="49"/>
    </row>
    <row r="36" spans="3:5" ht="14.25" customHeight="1" x14ac:dyDescent="0.3">
      <c r="C36" s="27" t="s">
        <v>315</v>
      </c>
      <c r="D36" s="24" t="s">
        <v>20</v>
      </c>
      <c r="E36" s="49"/>
    </row>
    <row r="37" spans="3:5" ht="14.25" customHeight="1" x14ac:dyDescent="0.3">
      <c r="C37" s="27" t="s">
        <v>315</v>
      </c>
      <c r="D37" s="24" t="s">
        <v>107</v>
      </c>
      <c r="E37" s="49"/>
    </row>
    <row r="38" spans="3:5" ht="14.25" customHeight="1" x14ac:dyDescent="0.3">
      <c r="C38" s="27" t="s">
        <v>315</v>
      </c>
      <c r="D38" s="24" t="s">
        <v>22</v>
      </c>
      <c r="E38" s="49"/>
    </row>
    <row r="39" spans="3:5" ht="14.25" customHeight="1" x14ac:dyDescent="0.3">
      <c r="C39" s="27" t="s">
        <v>315</v>
      </c>
      <c r="D39" s="24" t="s">
        <v>23</v>
      </c>
      <c r="E39" s="49"/>
    </row>
    <row r="40" spans="3:5" ht="14.25" customHeight="1" x14ac:dyDescent="0.3">
      <c r="C40" s="27" t="s">
        <v>315</v>
      </c>
      <c r="D40" s="24" t="s">
        <v>24</v>
      </c>
      <c r="E40" s="49"/>
    </row>
    <row r="41" spans="3:5" ht="14.25" customHeight="1" x14ac:dyDescent="0.3">
      <c r="C41" s="27" t="s">
        <v>315</v>
      </c>
      <c r="D41" s="24" t="s">
        <v>108</v>
      </c>
      <c r="E41" s="49"/>
    </row>
    <row r="42" spans="3:5" ht="14.25" customHeight="1" x14ac:dyDescent="0.3">
      <c r="C42" s="27" t="s">
        <v>315</v>
      </c>
      <c r="D42" s="24" t="s">
        <v>25</v>
      </c>
      <c r="E42" s="49"/>
    </row>
    <row r="43" spans="3:5" ht="14.25" customHeight="1" x14ac:dyDescent="0.3">
      <c r="C43" s="27" t="s">
        <v>315</v>
      </c>
      <c r="D43" s="24" t="s">
        <v>26</v>
      </c>
      <c r="E43" s="49"/>
    </row>
    <row r="44" spans="3:5" x14ac:dyDescent="0.3">
      <c r="C44" s="27" t="s">
        <v>315</v>
      </c>
      <c r="D44" s="24" t="s">
        <v>27</v>
      </c>
      <c r="E44" s="49"/>
    </row>
    <row r="45" spans="3:5" ht="14.25" customHeight="1" x14ac:dyDescent="0.3">
      <c r="C45" s="27" t="s">
        <v>315</v>
      </c>
      <c r="D45" s="24" t="s">
        <v>13</v>
      </c>
      <c r="E45" s="49"/>
    </row>
    <row r="46" spans="3:5" ht="14.25" customHeight="1" x14ac:dyDescent="0.3">
      <c r="C46" s="27" t="s">
        <v>315</v>
      </c>
      <c r="D46" s="24" t="s">
        <v>14</v>
      </c>
      <c r="E46" s="49"/>
    </row>
    <row r="47" spans="3:5" ht="14.25" customHeight="1" x14ac:dyDescent="0.3">
      <c r="C47" s="27" t="s">
        <v>315</v>
      </c>
      <c r="D47" s="24" t="s">
        <v>15</v>
      </c>
      <c r="E47" s="49"/>
    </row>
    <row r="48" spans="3:5" x14ac:dyDescent="0.3">
      <c r="C48" s="27" t="s">
        <v>315</v>
      </c>
      <c r="D48" s="24" t="s">
        <v>16</v>
      </c>
      <c r="E48" s="49"/>
    </row>
    <row r="49" spans="3:5" x14ac:dyDescent="0.3">
      <c r="C49" s="27" t="s">
        <v>315</v>
      </c>
      <c r="D49" s="26" t="s">
        <v>29</v>
      </c>
      <c r="E49" s="49"/>
    </row>
    <row r="50" spans="3:5" x14ac:dyDescent="0.3">
      <c r="C50" s="27" t="s">
        <v>315</v>
      </c>
      <c r="D50" s="26" t="s">
        <v>30</v>
      </c>
      <c r="E50" s="49"/>
    </row>
    <row r="51" spans="3:5" x14ac:dyDescent="0.3">
      <c r="C51" s="27" t="s">
        <v>315</v>
      </c>
      <c r="D51" s="26" t="s">
        <v>31</v>
      </c>
      <c r="E51" s="49"/>
    </row>
    <row r="52" spans="3:5" x14ac:dyDescent="0.3">
      <c r="D52" s="36" t="s">
        <v>198</v>
      </c>
      <c r="E52" s="52">
        <f>IF(IF(B11=0,B28,B28-(B11*5))&lt;=0,0,IF(B11=0,B28,B28-(B11*5)))</f>
        <v>30</v>
      </c>
    </row>
    <row r="53" spans="3:5" x14ac:dyDescent="0.3">
      <c r="D53" s="36" t="s">
        <v>199</v>
      </c>
      <c r="E53" s="53" t="str">
        <f>IF(COUNTIF(E17:E27,"No")&gt;=1,"Failed",IF(COUNTIF(E11:E16,"No")&gt;=4,"Failed","Pass"))</f>
        <v>Pass</v>
      </c>
    </row>
    <row r="54" spans="3:5" x14ac:dyDescent="0.3">
      <c r="D54" s="25" t="s">
        <v>182</v>
      </c>
      <c r="E54" s="49"/>
    </row>
    <row r="55" spans="3:5" x14ac:dyDescent="0.3">
      <c r="D55" s="25" t="s">
        <v>109</v>
      </c>
      <c r="E55" s="76"/>
    </row>
    <row r="56" spans="3:5" x14ac:dyDescent="0.3">
      <c r="D56" s="25" t="s">
        <v>113</v>
      </c>
    </row>
    <row r="57" spans="3:5" ht="54.75" customHeight="1" x14ac:dyDescent="0.3">
      <c r="D57" s="36" t="s">
        <v>311</v>
      </c>
      <c r="E57" s="69"/>
    </row>
    <row r="58" spans="3:5" ht="24" customHeight="1" x14ac:dyDescent="0.3">
      <c r="E58"/>
    </row>
    <row r="59" spans="3:5" x14ac:dyDescent="0.3">
      <c r="E59"/>
    </row>
  </sheetData>
  <mergeCells count="7">
    <mergeCell ref="A24:A26"/>
    <mergeCell ref="B24:B26"/>
    <mergeCell ref="C1:C10"/>
    <mergeCell ref="A17:A23"/>
    <mergeCell ref="B17:B23"/>
    <mergeCell ref="B11:B16"/>
    <mergeCell ref="A11:A16"/>
  </mergeCells>
  <dataValidations count="4">
    <dataValidation type="list" allowBlank="1" showInputMessage="1" showErrorMessage="1" sqref="E30:E31 E40:E41 E44 E36:E37 E50:E51" xr:uid="{00000000-0002-0000-0300-000000000000}">
      <formula1>INDIRECT(E29)</formula1>
    </dataValidation>
    <dataValidation type="list" allowBlank="1" showInputMessage="1" showErrorMessage="1" sqref="E10" xr:uid="{00000000-0002-0000-0300-000001000000}">
      <formula1>"Program, User, OPs, Client,Daily"</formula1>
    </dataValidation>
    <dataValidation type="list" allowBlank="1" showInputMessage="1" showErrorMessage="1" sqref="G6 E6" xr:uid="{00000000-0002-0000-0300-000002000000}">
      <formula1>"End-user Critical,Non Critical,Business Critical"</formula1>
    </dataValidation>
    <dataValidation type="list" allowBlank="1" showInputMessage="1" showErrorMessage="1" sqref="E11:E27" xr:uid="{00000000-0002-0000-0300-000003000000}">
      <formula1>"Yes,No"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300-000004000000}">
          <x14:formula1>
            <xm:f>REF!$A$3:$A$4</xm:f>
          </x14:formula1>
          <xm:sqref>E49</xm:sqref>
        </x14:dataValidation>
        <x14:dataValidation type="list" allowBlank="1" showInputMessage="1" showErrorMessage="1" xr:uid="{00000000-0002-0000-0300-000005000000}">
          <x14:formula1>
            <xm:f>REF!$I$2:$I$3</xm:f>
          </x14:formula1>
          <xm:sqref>E34 E38 E42 E45 E47</xm:sqref>
        </x14:dataValidation>
        <x14:dataValidation type="list" allowBlank="1" showInputMessage="1" showErrorMessage="1" xr:uid="{00000000-0002-0000-0300-000006000000}">
          <x14:formula1>
            <xm:f>REF!$D$3:$D$6</xm:f>
          </x14:formula1>
          <xm:sqref>E35 E39</xm:sqref>
        </x14:dataValidation>
        <x14:dataValidation type="list" allowBlank="1" showInputMessage="1" showErrorMessage="1" xr:uid="{00000000-0002-0000-0300-000007000000}">
          <x14:formula1>
            <xm:f>REF!$E$3:$E$6</xm:f>
          </x14:formula1>
          <xm:sqref>E29</xm:sqref>
        </x14:dataValidation>
        <x14:dataValidation type="list" allowBlank="1" showInputMessage="1" showErrorMessage="1" xr:uid="{00000000-0002-0000-0300-000008000000}">
          <x14:formula1>
            <xm:f>REF!$D$20:$D$21</xm:f>
          </x14:formula1>
          <xm:sqref>E43</xm:sqref>
        </x14:dataValidation>
        <x14:dataValidation type="list" allowBlank="1" showInputMessage="1" showErrorMessage="1" xr:uid="{00000000-0002-0000-0300-000009000000}">
          <x14:formula1>
            <xm:f>REF!$K$2:$K$8</xm:f>
          </x14:formula1>
          <xm:sqref>E46</xm:sqref>
        </x14:dataValidation>
        <x14:dataValidation type="list" allowBlank="1" showInputMessage="1" showErrorMessage="1" xr:uid="{00000000-0002-0000-0300-00000A000000}">
          <x14:formula1>
            <xm:f>REF!$J$2:$J$13</xm:f>
          </x14:formula1>
          <xm:sqref>E48</xm:sqref>
        </x14:dataValidation>
        <x14:dataValidation type="list" allowBlank="1" showInputMessage="1" showErrorMessage="1" xr:uid="{00000000-0002-0000-0300-00000B000000}">
          <x14:formula1>
            <xm:f>REF!$G$2:$G$4</xm:f>
          </x14:formula1>
          <xm:sqref>E28</xm:sqref>
        </x14:dataValidation>
        <x14:dataValidation type="list" allowBlank="1" showInputMessage="1" showErrorMessage="1" xr:uid="{00000000-0002-0000-0300-00000C000000}">
          <x14:formula1>
            <xm:f>REF!$L$2:$L$17</xm:f>
          </x14:formula1>
          <xm:sqref>E32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X133"/>
  <sheetViews>
    <sheetView showGridLines="0" tabSelected="1" zoomScale="85" zoomScaleNormal="85" workbookViewId="0">
      <pane ySplit="9" topLeftCell="A10" activePane="bottomLeft" state="frozen"/>
      <selection pane="bottomLeft" activeCell="A44" sqref="A44:X44"/>
    </sheetView>
  </sheetViews>
  <sheetFormatPr defaultColWidth="9" defaultRowHeight="14.4" x14ac:dyDescent="0.3"/>
  <cols>
    <col min="1" max="1" width="13.33203125" style="61" bestFit="1" customWidth="1"/>
    <col min="2" max="2" width="34.33203125" style="61" bestFit="1" customWidth="1"/>
    <col min="3" max="3" width="28.33203125" style="61" bestFit="1" customWidth="1"/>
    <col min="4" max="4" width="15.21875" style="61" bestFit="1" customWidth="1"/>
    <col min="5" max="5" width="8" style="61" bestFit="1" customWidth="1"/>
    <col min="6" max="6" width="14.6640625" style="61" bestFit="1" customWidth="1"/>
    <col min="7" max="7" width="11.6640625" style="61" bestFit="1" customWidth="1"/>
    <col min="8" max="9" width="11.6640625" style="61" customWidth="1"/>
    <col min="10" max="10" width="14.109375" style="61" bestFit="1" customWidth="1"/>
    <col min="11" max="11" width="12" style="61" bestFit="1" customWidth="1"/>
    <col min="12" max="12" width="21" style="61" customWidth="1"/>
    <col min="13" max="13" width="50.77734375" style="61" bestFit="1" customWidth="1"/>
    <col min="14" max="14" width="29.21875" style="61" bestFit="1" customWidth="1"/>
    <col min="15" max="15" width="28.109375" style="61" bestFit="1" customWidth="1"/>
    <col min="16" max="16" width="52.77734375" style="61" bestFit="1" customWidth="1"/>
    <col min="17" max="17" width="11.21875" style="61" bestFit="1" customWidth="1"/>
    <col min="18" max="18" width="13.21875" style="61" bestFit="1" customWidth="1"/>
    <col min="19" max="19" width="10.77734375" style="61" bestFit="1" customWidth="1"/>
    <col min="20" max="20" width="18.109375" style="61" bestFit="1" customWidth="1"/>
    <col min="21" max="21" width="52.77734375" style="61" bestFit="1" customWidth="1"/>
    <col min="22" max="22" width="14.109375" style="61" bestFit="1" customWidth="1"/>
    <col min="23" max="23" width="9.77734375" style="61" bestFit="1" customWidth="1"/>
    <col min="24" max="24" width="233.77734375" style="61" bestFit="1" customWidth="1"/>
    <col min="25" max="16384" width="9" style="55"/>
  </cols>
  <sheetData>
    <row r="1" spans="1:24" s="54" customFormat="1" x14ac:dyDescent="0.3"/>
    <row r="2" spans="1:24" s="54" customFormat="1" ht="21" customHeight="1" x14ac:dyDescent="0.3">
      <c r="O2" s="95">
        <f ca="1">TODAY()</f>
        <v>46222</v>
      </c>
    </row>
    <row r="3" spans="1:24" s="54" customFormat="1" ht="21" customHeight="1" x14ac:dyDescent="0.3">
      <c r="O3" s="96"/>
    </row>
    <row r="4" spans="1:24" s="54" customFormat="1" ht="21" customHeight="1" x14ac:dyDescent="0.3">
      <c r="K4" s="97" t="s">
        <v>178</v>
      </c>
      <c r="L4" s="97"/>
    </row>
    <row r="5" spans="1:24" s="54" customFormat="1" x14ac:dyDescent="0.3">
      <c r="K5" s="98"/>
      <c r="L5" s="98"/>
    </row>
    <row r="6" spans="1:24" s="54" customFormat="1" x14ac:dyDescent="0.3"/>
    <row r="7" spans="1:24" s="54" customFormat="1" x14ac:dyDescent="0.3"/>
    <row r="8" spans="1:24" s="54" customFormat="1" x14ac:dyDescent="0.3"/>
    <row r="9" spans="1:24" x14ac:dyDescent="0.3">
      <c r="A9" s="56" t="s">
        <v>111</v>
      </c>
      <c r="B9" s="56" t="s">
        <v>313</v>
      </c>
      <c r="C9" s="56" t="s">
        <v>322</v>
      </c>
      <c r="D9" s="56" t="s">
        <v>319</v>
      </c>
      <c r="E9" s="56" t="s">
        <v>320</v>
      </c>
      <c r="F9" s="56" t="s">
        <v>323</v>
      </c>
      <c r="G9" s="56" t="s">
        <v>321</v>
      </c>
      <c r="H9" s="56" t="s">
        <v>351</v>
      </c>
      <c r="I9" s="56" t="s">
        <v>350</v>
      </c>
      <c r="J9" s="56" t="s">
        <v>110</v>
      </c>
      <c r="K9" s="57" t="s">
        <v>21</v>
      </c>
      <c r="L9" s="57" t="s">
        <v>18</v>
      </c>
      <c r="M9" s="57" t="s">
        <v>86</v>
      </c>
      <c r="N9" s="57" t="s">
        <v>22</v>
      </c>
      <c r="O9" s="57" t="s">
        <v>23</v>
      </c>
      <c r="P9" s="57" t="s">
        <v>108</v>
      </c>
      <c r="Q9" s="57" t="s">
        <v>13</v>
      </c>
      <c r="R9" s="57" t="s">
        <v>14</v>
      </c>
      <c r="S9" s="57" t="s">
        <v>15</v>
      </c>
      <c r="T9" s="57" t="s">
        <v>16</v>
      </c>
      <c r="U9" s="59" t="s">
        <v>31</v>
      </c>
      <c r="V9" s="58" t="s">
        <v>198</v>
      </c>
      <c r="W9" s="58" t="s">
        <v>199</v>
      </c>
      <c r="X9" s="58" t="s">
        <v>312</v>
      </c>
    </row>
    <row r="10" spans="1:24" x14ac:dyDescent="0.3">
      <c r="A10" s="60">
        <v>46205</v>
      </c>
      <c r="B10" s="61" t="s">
        <v>354</v>
      </c>
      <c r="C10" s="61" t="s">
        <v>355</v>
      </c>
      <c r="D10" s="62">
        <v>46204.386111111111</v>
      </c>
      <c r="E10" s="61" t="s">
        <v>356</v>
      </c>
      <c r="F10" s="61" t="s">
        <v>358</v>
      </c>
      <c r="G10" s="61">
        <v>34969420</v>
      </c>
      <c r="H10" s="64">
        <v>55044419</v>
      </c>
      <c r="I10" s="64" t="s">
        <v>357</v>
      </c>
      <c r="J10" s="61" t="s">
        <v>359</v>
      </c>
      <c r="K10" s="61" t="s">
        <v>181</v>
      </c>
      <c r="L10" s="61" t="s">
        <v>7</v>
      </c>
      <c r="M10" s="61" t="s">
        <v>75</v>
      </c>
      <c r="N10" s="61" t="s">
        <v>12</v>
      </c>
      <c r="O10" s="61" t="s">
        <v>92</v>
      </c>
      <c r="P10" s="61" t="s">
        <v>87</v>
      </c>
      <c r="U10" s="61" t="s">
        <v>75</v>
      </c>
      <c r="V10" s="65">
        <v>95</v>
      </c>
      <c r="W10" s="61" t="s">
        <v>361</v>
      </c>
      <c r="X10" s="61" t="s">
        <v>360</v>
      </c>
    </row>
    <row r="11" spans="1:24" x14ac:dyDescent="0.3">
      <c r="A11" s="60">
        <v>46205</v>
      </c>
      <c r="B11" s="61" t="s">
        <v>362</v>
      </c>
      <c r="C11" s="61" t="s">
        <v>355</v>
      </c>
      <c r="D11" s="62">
        <v>46204.427777777775</v>
      </c>
      <c r="E11" s="61" t="s">
        <v>356</v>
      </c>
      <c r="G11" s="61">
        <v>34974396</v>
      </c>
      <c r="H11" s="61">
        <v>66960566</v>
      </c>
      <c r="I11" s="64" t="s">
        <v>363</v>
      </c>
      <c r="J11" s="61" t="s">
        <v>359</v>
      </c>
      <c r="K11" s="61" t="s">
        <v>179</v>
      </c>
      <c r="N11" s="61" t="s">
        <v>11</v>
      </c>
      <c r="V11" s="65">
        <v>100</v>
      </c>
      <c r="W11" s="61" t="s">
        <v>361</v>
      </c>
      <c r="X11" s="61" t="s">
        <v>353</v>
      </c>
    </row>
    <row r="12" spans="1:24" x14ac:dyDescent="0.3">
      <c r="A12" s="60">
        <v>46207</v>
      </c>
      <c r="B12" s="61" t="s">
        <v>364</v>
      </c>
      <c r="C12" s="61" t="s">
        <v>355</v>
      </c>
      <c r="D12" s="62">
        <v>46205.407638888886</v>
      </c>
      <c r="E12" s="61" t="s">
        <v>356</v>
      </c>
      <c r="F12" s="61" t="s">
        <v>317</v>
      </c>
      <c r="G12" s="61">
        <v>35023836</v>
      </c>
      <c r="H12" s="61">
        <v>77282335</v>
      </c>
      <c r="I12" s="64" t="s">
        <v>365</v>
      </c>
      <c r="J12" s="61" t="s">
        <v>359</v>
      </c>
      <c r="K12" s="61" t="s">
        <v>180</v>
      </c>
      <c r="L12" s="61" t="s">
        <v>7</v>
      </c>
      <c r="M12" s="61" t="s">
        <v>63</v>
      </c>
      <c r="N12" s="61" t="s">
        <v>12</v>
      </c>
      <c r="O12" s="61" t="s">
        <v>91</v>
      </c>
      <c r="P12" s="61" t="s">
        <v>63</v>
      </c>
      <c r="U12" s="61" t="s">
        <v>63</v>
      </c>
      <c r="V12" s="65">
        <v>25</v>
      </c>
      <c r="W12" s="61" t="s">
        <v>367</v>
      </c>
      <c r="X12" s="61" t="s">
        <v>366</v>
      </c>
    </row>
    <row r="13" spans="1:24" x14ac:dyDescent="0.3">
      <c r="A13" s="60">
        <v>46207</v>
      </c>
      <c r="B13" s="61" t="s">
        <v>368</v>
      </c>
      <c r="C13" s="61" t="s">
        <v>355</v>
      </c>
      <c r="D13" s="62">
        <v>46205.434027777781</v>
      </c>
      <c r="E13" s="61" t="s">
        <v>356</v>
      </c>
      <c r="F13" s="61" t="s">
        <v>358</v>
      </c>
      <c r="G13" s="61">
        <v>35026692</v>
      </c>
      <c r="H13" s="61">
        <v>55050085</v>
      </c>
      <c r="I13" s="64" t="s">
        <v>369</v>
      </c>
      <c r="J13" s="61" t="s">
        <v>359</v>
      </c>
      <c r="K13" s="61" t="s">
        <v>181</v>
      </c>
      <c r="L13" s="61" t="s">
        <v>7</v>
      </c>
      <c r="M13" s="61" t="s">
        <v>73</v>
      </c>
      <c r="N13" s="61" t="s">
        <v>12</v>
      </c>
      <c r="O13" s="61" t="s">
        <v>92</v>
      </c>
      <c r="P13" s="61" t="s">
        <v>87</v>
      </c>
      <c r="U13" s="61" t="s">
        <v>73</v>
      </c>
      <c r="V13" s="65">
        <v>95</v>
      </c>
      <c r="W13" s="61" t="s">
        <v>361</v>
      </c>
      <c r="X13" s="61" t="s">
        <v>370</v>
      </c>
    </row>
    <row r="14" spans="1:24" ht="14.25" customHeight="1" x14ac:dyDescent="0.3">
      <c r="A14" s="60">
        <v>46208</v>
      </c>
      <c r="B14" s="61" t="s">
        <v>371</v>
      </c>
      <c r="C14" s="61" t="s">
        <v>355</v>
      </c>
      <c r="D14" s="62">
        <v>46207.446527777778</v>
      </c>
      <c r="E14" s="61" t="s">
        <v>356</v>
      </c>
      <c r="F14" s="61" t="s">
        <v>358</v>
      </c>
      <c r="G14" s="61">
        <v>35093413</v>
      </c>
      <c r="H14" s="61">
        <v>33163180</v>
      </c>
      <c r="I14" s="64" t="s">
        <v>372</v>
      </c>
      <c r="J14" s="61" t="s">
        <v>359</v>
      </c>
      <c r="K14" s="61" t="s">
        <v>181</v>
      </c>
      <c r="L14" s="61" t="s">
        <v>7</v>
      </c>
      <c r="M14" s="61" t="s">
        <v>74</v>
      </c>
      <c r="N14" s="61" t="s">
        <v>12</v>
      </c>
      <c r="O14" s="61" t="s">
        <v>92</v>
      </c>
      <c r="P14" s="61" t="s">
        <v>87</v>
      </c>
      <c r="U14" s="61" t="s">
        <v>74</v>
      </c>
      <c r="V14" s="65">
        <v>90</v>
      </c>
      <c r="W14" s="61" t="s">
        <v>361</v>
      </c>
      <c r="X14" s="61" t="s">
        <v>373</v>
      </c>
    </row>
    <row r="15" spans="1:24" s="74" customFormat="1" x14ac:dyDescent="0.3">
      <c r="A15" s="70">
        <v>46208</v>
      </c>
      <c r="B15" s="71" t="s">
        <v>374</v>
      </c>
      <c r="C15" s="71" t="s">
        <v>355</v>
      </c>
      <c r="D15" s="72">
        <v>46207.611111111109</v>
      </c>
      <c r="E15" s="71" t="s">
        <v>356</v>
      </c>
      <c r="F15" s="71"/>
      <c r="G15" s="71">
        <v>35105921</v>
      </c>
      <c r="H15" s="71">
        <v>30392921</v>
      </c>
      <c r="I15" s="75" t="s">
        <v>375</v>
      </c>
      <c r="J15" s="71" t="s">
        <v>359</v>
      </c>
      <c r="K15" s="61" t="s">
        <v>179</v>
      </c>
      <c r="L15" s="71" t="s">
        <v>7</v>
      </c>
      <c r="M15" s="71"/>
      <c r="N15" s="61" t="s">
        <v>11</v>
      </c>
      <c r="O15" s="71"/>
      <c r="P15" s="71"/>
      <c r="Q15" s="71"/>
      <c r="R15" s="71"/>
      <c r="S15" s="71"/>
      <c r="T15" s="71"/>
      <c r="U15" s="71"/>
      <c r="V15" s="73">
        <v>100</v>
      </c>
      <c r="W15" s="61" t="s">
        <v>361</v>
      </c>
      <c r="X15" s="71"/>
    </row>
    <row r="16" spans="1:24" x14ac:dyDescent="0.3">
      <c r="A16" s="60">
        <v>46208</v>
      </c>
      <c r="B16" s="61" t="s">
        <v>377</v>
      </c>
      <c r="C16" s="61" t="s">
        <v>355</v>
      </c>
      <c r="D16" s="62">
        <v>46207.652777777781</v>
      </c>
      <c r="E16" s="61" t="s">
        <v>356</v>
      </c>
      <c r="F16" s="61" t="s">
        <v>376</v>
      </c>
      <c r="G16" s="61">
        <v>35108581</v>
      </c>
      <c r="H16" s="61">
        <v>74446025</v>
      </c>
      <c r="I16" s="64" t="s">
        <v>378</v>
      </c>
      <c r="J16" s="61" t="s">
        <v>359</v>
      </c>
      <c r="K16" s="61" t="s">
        <v>180</v>
      </c>
      <c r="L16" s="61" t="s">
        <v>7</v>
      </c>
      <c r="M16" s="61" t="s">
        <v>61</v>
      </c>
      <c r="N16" s="61" t="s">
        <v>12</v>
      </c>
      <c r="O16" s="61" t="s">
        <v>91</v>
      </c>
      <c r="P16" s="61" t="s">
        <v>61</v>
      </c>
      <c r="U16" s="61" t="s">
        <v>61</v>
      </c>
      <c r="V16" s="65">
        <v>30</v>
      </c>
      <c r="W16" s="61" t="s">
        <v>367</v>
      </c>
      <c r="X16" s="61" t="s">
        <v>379</v>
      </c>
    </row>
    <row r="17" spans="1:24" ht="15" customHeight="1" x14ac:dyDescent="0.3">
      <c r="A17" s="60">
        <v>46209</v>
      </c>
      <c r="B17" s="61" t="s">
        <v>380</v>
      </c>
      <c r="C17" s="61" t="s">
        <v>355</v>
      </c>
      <c r="D17" s="62">
        <v>46208.370138888888</v>
      </c>
      <c r="E17" s="61" t="s">
        <v>356</v>
      </c>
      <c r="F17" s="61" t="s">
        <v>358</v>
      </c>
      <c r="G17" s="61">
        <v>35127969</v>
      </c>
      <c r="H17" s="61">
        <v>66654668</v>
      </c>
      <c r="I17" s="64" t="s">
        <v>381</v>
      </c>
      <c r="J17" s="61" t="s">
        <v>359</v>
      </c>
      <c r="K17" s="61" t="s">
        <v>181</v>
      </c>
      <c r="L17" s="61" t="s">
        <v>7</v>
      </c>
      <c r="M17" s="61" t="s">
        <v>74</v>
      </c>
      <c r="N17" s="61" t="s">
        <v>12</v>
      </c>
      <c r="O17" s="61" t="s">
        <v>92</v>
      </c>
      <c r="P17" s="61" t="s">
        <v>87</v>
      </c>
      <c r="Q17" s="61" t="s">
        <v>11</v>
      </c>
      <c r="R17" s="61" t="s">
        <v>106</v>
      </c>
      <c r="S17" s="61" t="s">
        <v>11</v>
      </c>
      <c r="T17" s="61" t="s">
        <v>106</v>
      </c>
      <c r="U17" s="61" t="s">
        <v>74</v>
      </c>
      <c r="V17" s="65">
        <v>90</v>
      </c>
      <c r="W17" s="61" t="s">
        <v>361</v>
      </c>
      <c r="X17" s="61" t="s">
        <v>382</v>
      </c>
    </row>
    <row r="18" spans="1:24" x14ac:dyDescent="0.3">
      <c r="A18" s="60">
        <v>46209</v>
      </c>
      <c r="B18" s="61" t="s">
        <v>383</v>
      </c>
      <c r="C18" s="61" t="s">
        <v>355</v>
      </c>
      <c r="D18" s="62">
        <v>46208.439583333333</v>
      </c>
      <c r="E18" s="61" t="s">
        <v>356</v>
      </c>
      <c r="F18" s="61" t="s">
        <v>358</v>
      </c>
      <c r="G18" s="61">
        <v>35137036</v>
      </c>
      <c r="H18" s="61">
        <v>66444291</v>
      </c>
      <c r="I18" s="64" t="s">
        <v>384</v>
      </c>
      <c r="J18" s="61" t="s">
        <v>359</v>
      </c>
      <c r="K18" s="61" t="s">
        <v>181</v>
      </c>
      <c r="L18" s="61" t="s">
        <v>7</v>
      </c>
      <c r="M18" s="61" t="s">
        <v>74</v>
      </c>
      <c r="N18" s="61" t="s">
        <v>12</v>
      </c>
      <c r="O18" s="61" t="s">
        <v>92</v>
      </c>
      <c r="P18" s="61" t="s">
        <v>87</v>
      </c>
      <c r="U18" s="61" t="s">
        <v>74</v>
      </c>
      <c r="V18" s="65">
        <v>95</v>
      </c>
      <c r="W18" s="61" t="s">
        <v>361</v>
      </c>
      <c r="X18" s="61" t="s">
        <v>385</v>
      </c>
    </row>
    <row r="19" spans="1:24" x14ac:dyDescent="0.3">
      <c r="A19" s="60">
        <v>46209</v>
      </c>
      <c r="B19" s="61" t="s">
        <v>386</v>
      </c>
      <c r="C19" s="61" t="s">
        <v>355</v>
      </c>
      <c r="D19" s="62">
        <v>46208.439583333333</v>
      </c>
      <c r="E19" s="61" t="s">
        <v>356</v>
      </c>
      <c r="F19" s="61" t="s">
        <v>376</v>
      </c>
      <c r="G19" s="61">
        <v>39914322</v>
      </c>
      <c r="H19" s="61">
        <v>35140210</v>
      </c>
      <c r="I19" s="64" t="s">
        <v>384</v>
      </c>
      <c r="J19" s="61" t="s">
        <v>359</v>
      </c>
      <c r="K19" s="61" t="s">
        <v>180</v>
      </c>
      <c r="L19" s="61" t="s">
        <v>7</v>
      </c>
      <c r="M19" s="61" t="s">
        <v>61</v>
      </c>
      <c r="N19" s="61" t="s">
        <v>12</v>
      </c>
      <c r="O19" s="61" t="s">
        <v>91</v>
      </c>
      <c r="P19" s="61" t="s">
        <v>61</v>
      </c>
      <c r="Q19" s="61" t="s">
        <v>11</v>
      </c>
      <c r="R19" s="61" t="s">
        <v>106</v>
      </c>
      <c r="S19" s="61" t="s">
        <v>11</v>
      </c>
      <c r="T19" s="61" t="s">
        <v>106</v>
      </c>
      <c r="U19" s="61" t="s">
        <v>61</v>
      </c>
      <c r="V19" s="65">
        <v>25</v>
      </c>
      <c r="W19" s="61" t="s">
        <v>367</v>
      </c>
      <c r="X19" s="61" t="s">
        <v>387</v>
      </c>
    </row>
    <row r="20" spans="1:24" x14ac:dyDescent="0.3">
      <c r="A20" s="60">
        <v>46210</v>
      </c>
      <c r="B20" s="61" t="s">
        <v>386</v>
      </c>
      <c r="C20" s="61" t="s">
        <v>355</v>
      </c>
      <c r="D20" s="62">
        <v>46209.315972222219</v>
      </c>
      <c r="E20" s="61" t="s">
        <v>356</v>
      </c>
      <c r="F20" s="61" t="s">
        <v>358</v>
      </c>
      <c r="G20" s="61">
        <v>35187823</v>
      </c>
      <c r="H20" s="61">
        <v>55166189</v>
      </c>
      <c r="I20" s="64" t="s">
        <v>388</v>
      </c>
      <c r="J20" s="61" t="s">
        <v>359</v>
      </c>
      <c r="K20" s="61" t="s">
        <v>181</v>
      </c>
      <c r="L20" s="61" t="s">
        <v>7</v>
      </c>
      <c r="M20" s="61" t="s">
        <v>74</v>
      </c>
      <c r="N20" s="61" t="s">
        <v>12</v>
      </c>
      <c r="O20" s="61" t="s">
        <v>92</v>
      </c>
      <c r="P20" s="61" t="s">
        <v>87</v>
      </c>
      <c r="Q20" s="61" t="s">
        <v>11</v>
      </c>
      <c r="R20" s="61" t="s">
        <v>106</v>
      </c>
      <c r="S20" s="61" t="s">
        <v>11</v>
      </c>
      <c r="T20" s="61" t="s">
        <v>106</v>
      </c>
      <c r="U20" s="61" t="s">
        <v>74</v>
      </c>
      <c r="V20" s="65">
        <v>90</v>
      </c>
      <c r="W20" s="61" t="s">
        <v>361</v>
      </c>
      <c r="X20" s="61" t="s">
        <v>389</v>
      </c>
    </row>
    <row r="21" spans="1:24" x14ac:dyDescent="0.3">
      <c r="A21" s="60">
        <v>46210</v>
      </c>
      <c r="B21" s="61" t="s">
        <v>390</v>
      </c>
      <c r="C21" s="61" t="s">
        <v>355</v>
      </c>
      <c r="D21" s="62">
        <v>46209.427777777775</v>
      </c>
      <c r="E21" s="61" t="s">
        <v>356</v>
      </c>
      <c r="G21" s="61">
        <v>35200971</v>
      </c>
      <c r="H21" s="61">
        <v>50157569</v>
      </c>
      <c r="I21" s="64" t="s">
        <v>391</v>
      </c>
      <c r="J21" s="61" t="s">
        <v>359</v>
      </c>
      <c r="K21" s="61" t="s">
        <v>179</v>
      </c>
      <c r="N21" s="61" t="s">
        <v>12</v>
      </c>
      <c r="O21" s="61" t="s">
        <v>92</v>
      </c>
      <c r="P21" s="61" t="s">
        <v>87</v>
      </c>
      <c r="U21" s="61" t="s">
        <v>87</v>
      </c>
      <c r="V21" s="65">
        <v>100</v>
      </c>
      <c r="W21" s="61" t="s">
        <v>361</v>
      </c>
      <c r="X21" s="61" t="s">
        <v>353</v>
      </c>
    </row>
    <row r="22" spans="1:24" x14ac:dyDescent="0.3">
      <c r="A22" s="60">
        <v>46211</v>
      </c>
      <c r="B22" s="61" t="s">
        <v>386</v>
      </c>
      <c r="C22" s="61" t="s">
        <v>355</v>
      </c>
      <c r="D22" s="62">
        <v>46210.268750000003</v>
      </c>
      <c r="E22" s="61" t="s">
        <v>356</v>
      </c>
      <c r="G22" s="61">
        <v>35256731</v>
      </c>
      <c r="H22" s="64">
        <v>44066466</v>
      </c>
      <c r="I22" s="64" t="s">
        <v>392</v>
      </c>
      <c r="J22" s="61" t="s">
        <v>359</v>
      </c>
      <c r="K22" s="61" t="s">
        <v>179</v>
      </c>
      <c r="N22" s="61" t="s">
        <v>11</v>
      </c>
      <c r="Q22" s="61" t="s">
        <v>11</v>
      </c>
      <c r="R22" s="61" t="s">
        <v>106</v>
      </c>
      <c r="S22" s="61" t="s">
        <v>11</v>
      </c>
      <c r="T22" s="61" t="s">
        <v>106</v>
      </c>
      <c r="V22" s="65">
        <v>100</v>
      </c>
      <c r="W22" s="61" t="s">
        <v>361</v>
      </c>
      <c r="X22" s="61" t="s">
        <v>353</v>
      </c>
    </row>
    <row r="23" spans="1:24" x14ac:dyDescent="0.3">
      <c r="A23" s="60">
        <v>46211</v>
      </c>
      <c r="B23" s="61" t="s">
        <v>393</v>
      </c>
      <c r="C23" s="61" t="s">
        <v>355</v>
      </c>
      <c r="D23" s="62">
        <v>46210.366666666669</v>
      </c>
      <c r="E23" s="61" t="s">
        <v>356</v>
      </c>
      <c r="F23" s="61" t="s">
        <v>358</v>
      </c>
      <c r="G23" s="61">
        <v>35262274</v>
      </c>
      <c r="H23" s="61">
        <v>55502915</v>
      </c>
      <c r="I23" s="64" t="s">
        <v>394</v>
      </c>
      <c r="J23" s="61" t="s">
        <v>359</v>
      </c>
      <c r="K23" s="61" t="s">
        <v>181</v>
      </c>
      <c r="L23" s="61" t="s">
        <v>7</v>
      </c>
      <c r="M23" s="61" t="s">
        <v>73</v>
      </c>
      <c r="N23" s="61" t="s">
        <v>12</v>
      </c>
      <c r="O23" s="61" t="s">
        <v>92</v>
      </c>
      <c r="P23" s="61" t="s">
        <v>87</v>
      </c>
      <c r="U23" s="61" t="s">
        <v>73</v>
      </c>
      <c r="V23" s="65">
        <v>95</v>
      </c>
      <c r="W23" s="61" t="s">
        <v>361</v>
      </c>
      <c r="X23" s="61" t="s">
        <v>395</v>
      </c>
    </row>
    <row r="24" spans="1:24" x14ac:dyDescent="0.3">
      <c r="A24" s="60">
        <v>46211</v>
      </c>
      <c r="B24" s="61" t="s">
        <v>396</v>
      </c>
      <c r="C24" s="61" t="s">
        <v>355</v>
      </c>
      <c r="D24" s="62">
        <v>46210.422222222223</v>
      </c>
      <c r="E24" s="61" t="s">
        <v>356</v>
      </c>
      <c r="F24" s="61" t="s">
        <v>358</v>
      </c>
      <c r="G24" s="61">
        <v>35269281</v>
      </c>
      <c r="H24" s="61">
        <v>71788886</v>
      </c>
      <c r="I24" s="61" t="s">
        <v>397</v>
      </c>
      <c r="J24" s="61" t="s">
        <v>359</v>
      </c>
      <c r="K24" s="61" t="s">
        <v>181</v>
      </c>
      <c r="L24" s="61" t="s">
        <v>7</v>
      </c>
      <c r="M24" s="61" t="s">
        <v>75</v>
      </c>
      <c r="N24" s="61" t="s">
        <v>11</v>
      </c>
      <c r="Q24" s="61" t="s">
        <v>11</v>
      </c>
      <c r="R24" s="61" t="s">
        <v>106</v>
      </c>
      <c r="S24" s="61" t="s">
        <v>11</v>
      </c>
      <c r="T24" s="61" t="s">
        <v>106</v>
      </c>
      <c r="V24" s="65">
        <v>95</v>
      </c>
      <c r="W24" s="61" t="s">
        <v>361</v>
      </c>
      <c r="X24" s="61" t="s">
        <v>398</v>
      </c>
    </row>
    <row r="25" spans="1:24" x14ac:dyDescent="0.3">
      <c r="A25" s="60">
        <v>46214</v>
      </c>
      <c r="B25" s="61" t="s">
        <v>399</v>
      </c>
      <c r="C25" s="61" t="s">
        <v>355</v>
      </c>
      <c r="D25" s="62">
        <v>46212.443055555559</v>
      </c>
      <c r="E25" s="61" t="s">
        <v>356</v>
      </c>
      <c r="G25" s="61">
        <v>35373713</v>
      </c>
      <c r="H25" s="61">
        <v>55892488</v>
      </c>
      <c r="I25" s="61" t="s">
        <v>400</v>
      </c>
      <c r="J25" s="61" t="s">
        <v>359</v>
      </c>
      <c r="K25" s="61" t="s">
        <v>179</v>
      </c>
      <c r="N25" s="61" t="s">
        <v>12</v>
      </c>
      <c r="O25" s="61" t="s">
        <v>92</v>
      </c>
      <c r="P25" s="61" t="s">
        <v>87</v>
      </c>
      <c r="U25" s="61" t="s">
        <v>87</v>
      </c>
      <c r="V25" s="65">
        <v>100</v>
      </c>
      <c r="W25" s="61" t="s">
        <v>361</v>
      </c>
      <c r="X25" s="61" t="s">
        <v>353</v>
      </c>
    </row>
    <row r="26" spans="1:24" x14ac:dyDescent="0.3">
      <c r="A26" s="60">
        <v>46214</v>
      </c>
      <c r="B26" s="61" t="s">
        <v>396</v>
      </c>
      <c r="C26" s="61" t="s">
        <v>355</v>
      </c>
      <c r="D26" s="62">
        <v>46212.456250000003</v>
      </c>
      <c r="E26" s="61" t="s">
        <v>356</v>
      </c>
      <c r="F26" s="61" t="s">
        <v>358</v>
      </c>
      <c r="G26" s="61">
        <v>35375465</v>
      </c>
      <c r="H26" s="61">
        <v>55203595</v>
      </c>
      <c r="I26" s="61" t="s">
        <v>401</v>
      </c>
      <c r="J26" s="61" t="s">
        <v>359</v>
      </c>
      <c r="K26" s="61" t="s">
        <v>181</v>
      </c>
      <c r="L26" s="61" t="s">
        <v>7</v>
      </c>
      <c r="M26" s="61" t="s">
        <v>73</v>
      </c>
      <c r="N26" s="61" t="s">
        <v>11</v>
      </c>
      <c r="U26" s="61" t="s">
        <v>73</v>
      </c>
      <c r="V26" s="65">
        <v>95</v>
      </c>
      <c r="W26" s="61" t="s">
        <v>361</v>
      </c>
      <c r="X26" s="61" t="s">
        <v>402</v>
      </c>
    </row>
    <row r="27" spans="1:24" x14ac:dyDescent="0.3">
      <c r="A27" s="60">
        <v>46215</v>
      </c>
      <c r="B27" s="61" t="s">
        <v>403</v>
      </c>
      <c r="C27" s="61" t="s">
        <v>355</v>
      </c>
      <c r="D27" s="62">
        <v>46214.374305555553</v>
      </c>
      <c r="E27" s="61" t="s">
        <v>356</v>
      </c>
      <c r="F27" s="61" t="s">
        <v>358</v>
      </c>
      <c r="G27" s="61">
        <v>35425899</v>
      </c>
      <c r="H27" s="61">
        <v>77398074</v>
      </c>
      <c r="I27" s="61" t="s">
        <v>404</v>
      </c>
      <c r="J27" s="61" t="s">
        <v>359</v>
      </c>
      <c r="K27" s="61" t="s">
        <v>181</v>
      </c>
      <c r="L27" s="61" t="s">
        <v>7</v>
      </c>
      <c r="M27" s="61" t="s">
        <v>73</v>
      </c>
      <c r="N27" s="61" t="s">
        <v>12</v>
      </c>
      <c r="O27" s="61" t="s">
        <v>92</v>
      </c>
      <c r="P27" s="61" t="s">
        <v>87</v>
      </c>
      <c r="U27" s="61" t="s">
        <v>73</v>
      </c>
      <c r="V27" s="65">
        <v>90</v>
      </c>
      <c r="W27" s="61" t="s">
        <v>361</v>
      </c>
      <c r="X27" s="61" t="s">
        <v>405</v>
      </c>
    </row>
    <row r="28" spans="1:24" x14ac:dyDescent="0.3">
      <c r="A28" s="60">
        <v>46215</v>
      </c>
      <c r="B28" s="61" t="s">
        <v>403</v>
      </c>
      <c r="C28" s="61" t="s">
        <v>355</v>
      </c>
      <c r="D28" s="62">
        <v>46214.376388888886</v>
      </c>
      <c r="E28" s="61" t="s">
        <v>356</v>
      </c>
      <c r="F28" s="61" t="s">
        <v>358</v>
      </c>
      <c r="G28" s="61">
        <v>35426090</v>
      </c>
      <c r="H28" s="61">
        <v>60098926</v>
      </c>
      <c r="I28" s="61" t="s">
        <v>406</v>
      </c>
      <c r="J28" s="61" t="s">
        <v>359</v>
      </c>
      <c r="K28" s="61" t="s">
        <v>181</v>
      </c>
      <c r="L28" s="61" t="s">
        <v>7</v>
      </c>
      <c r="M28" s="61" t="s">
        <v>73</v>
      </c>
      <c r="N28" s="61" t="s">
        <v>12</v>
      </c>
      <c r="O28" s="61" t="s">
        <v>92</v>
      </c>
      <c r="P28" s="61" t="s">
        <v>87</v>
      </c>
      <c r="U28" s="61" t="s">
        <v>74</v>
      </c>
      <c r="V28" s="65">
        <v>95</v>
      </c>
      <c r="W28" s="61" t="s">
        <v>361</v>
      </c>
      <c r="X28" s="67" t="s">
        <v>407</v>
      </c>
    </row>
    <row r="29" spans="1:24" x14ac:dyDescent="0.3">
      <c r="A29" s="60">
        <v>46218</v>
      </c>
      <c r="B29" s="61" t="s">
        <v>396</v>
      </c>
      <c r="C29" s="61" t="s">
        <v>355</v>
      </c>
      <c r="D29" s="62">
        <v>46216.417361111111</v>
      </c>
      <c r="E29" s="61" t="s">
        <v>356</v>
      </c>
      <c r="G29" s="61">
        <v>35541374</v>
      </c>
      <c r="H29" s="61">
        <v>55560177</v>
      </c>
      <c r="I29" s="61" t="s">
        <v>408</v>
      </c>
      <c r="J29" s="61" t="s">
        <v>359</v>
      </c>
      <c r="K29" s="61" t="s">
        <v>179</v>
      </c>
      <c r="N29" s="61" t="s">
        <v>11</v>
      </c>
      <c r="V29" s="65">
        <v>100</v>
      </c>
      <c r="W29" s="61" t="s">
        <v>361</v>
      </c>
      <c r="X29" s="61" t="s">
        <v>353</v>
      </c>
    </row>
    <row r="30" spans="1:24" x14ac:dyDescent="0.3">
      <c r="A30" s="60">
        <v>46218</v>
      </c>
      <c r="B30" s="61" t="s">
        <v>386</v>
      </c>
      <c r="C30" s="61" t="s">
        <v>355</v>
      </c>
      <c r="D30" s="62">
        <v>46216.427777777775</v>
      </c>
      <c r="E30" s="61" t="s">
        <v>356</v>
      </c>
      <c r="F30" s="68" t="s">
        <v>358</v>
      </c>
      <c r="G30" s="61">
        <v>35542102</v>
      </c>
      <c r="H30" s="61">
        <v>33888003</v>
      </c>
      <c r="I30" s="61" t="s">
        <v>409</v>
      </c>
      <c r="J30" s="61" t="s">
        <v>359</v>
      </c>
      <c r="K30" s="61" t="s">
        <v>181</v>
      </c>
      <c r="L30" s="61" t="s">
        <v>7</v>
      </c>
      <c r="M30" s="61" t="s">
        <v>74</v>
      </c>
      <c r="N30" s="61" t="s">
        <v>11</v>
      </c>
      <c r="U30" s="61" t="s">
        <v>74</v>
      </c>
      <c r="V30" s="65">
        <v>95</v>
      </c>
      <c r="W30" s="61" t="s">
        <v>361</v>
      </c>
      <c r="X30" s="61" t="s">
        <v>410</v>
      </c>
    </row>
    <row r="31" spans="1:24" x14ac:dyDescent="0.3">
      <c r="A31" s="60">
        <v>46218</v>
      </c>
      <c r="B31" s="61" t="s">
        <v>411</v>
      </c>
      <c r="C31" s="61" t="s">
        <v>355</v>
      </c>
      <c r="D31" s="62">
        <v>46216.427777777775</v>
      </c>
      <c r="E31" s="61" t="s">
        <v>356</v>
      </c>
      <c r="G31" s="61">
        <v>35469237</v>
      </c>
      <c r="H31" s="61">
        <v>66666959</v>
      </c>
      <c r="I31" s="61" t="s">
        <v>412</v>
      </c>
      <c r="J31" s="61" t="s">
        <v>359</v>
      </c>
      <c r="K31" s="61" t="s">
        <v>179</v>
      </c>
      <c r="N31" s="61" t="s">
        <v>11</v>
      </c>
      <c r="V31" s="65">
        <v>100</v>
      </c>
      <c r="W31" s="61" t="s">
        <v>361</v>
      </c>
      <c r="X31" s="61" t="s">
        <v>353</v>
      </c>
    </row>
    <row r="32" spans="1:24" x14ac:dyDescent="0.3">
      <c r="A32" s="60">
        <v>46218</v>
      </c>
      <c r="B32" s="61" t="s">
        <v>396</v>
      </c>
      <c r="C32" s="61" t="s">
        <v>355</v>
      </c>
      <c r="D32" s="62">
        <v>46217.352083333331</v>
      </c>
      <c r="E32" s="61" t="s">
        <v>356</v>
      </c>
      <c r="F32" s="61" t="s">
        <v>376</v>
      </c>
      <c r="G32" s="61">
        <v>35570397</v>
      </c>
      <c r="H32" s="61">
        <v>33344515</v>
      </c>
      <c r="I32" s="61" t="s">
        <v>413</v>
      </c>
      <c r="J32" s="61" t="s">
        <v>359</v>
      </c>
      <c r="K32" s="61" t="s">
        <v>180</v>
      </c>
      <c r="L32" s="61" t="s">
        <v>7</v>
      </c>
      <c r="M32" s="61" t="s">
        <v>60</v>
      </c>
      <c r="N32" s="61" t="s">
        <v>12</v>
      </c>
      <c r="O32" s="61" t="s">
        <v>91</v>
      </c>
      <c r="P32" s="61" t="s">
        <v>60</v>
      </c>
      <c r="U32" s="61" t="s">
        <v>60</v>
      </c>
      <c r="V32" s="65">
        <v>30</v>
      </c>
      <c r="W32" s="61" t="s">
        <v>367</v>
      </c>
      <c r="X32" s="61" t="s">
        <v>414</v>
      </c>
    </row>
    <row r="33" spans="1:24" x14ac:dyDescent="0.3">
      <c r="A33" s="60">
        <v>46218</v>
      </c>
      <c r="B33" s="61" t="s">
        <v>415</v>
      </c>
      <c r="C33" s="61" t="s">
        <v>355</v>
      </c>
      <c r="D33" s="62">
        <v>46217.458333333336</v>
      </c>
      <c r="E33" s="61" t="s">
        <v>356</v>
      </c>
      <c r="G33" s="61">
        <v>35576251</v>
      </c>
      <c r="H33" s="61">
        <v>55545880</v>
      </c>
      <c r="I33" s="61" t="s">
        <v>416</v>
      </c>
      <c r="J33" s="61" t="s">
        <v>359</v>
      </c>
      <c r="K33" s="61" t="s">
        <v>181</v>
      </c>
      <c r="L33" s="61" t="s">
        <v>7</v>
      </c>
      <c r="N33" s="61" t="s">
        <v>12</v>
      </c>
      <c r="V33" s="65">
        <v>95</v>
      </c>
      <c r="W33" s="61" t="s">
        <v>420</v>
      </c>
      <c r="X33" s="61" t="s">
        <v>417</v>
      </c>
    </row>
    <row r="34" spans="1:24" x14ac:dyDescent="0.3">
      <c r="A34" s="60">
        <v>46218</v>
      </c>
      <c r="B34" s="61" t="s">
        <v>418</v>
      </c>
      <c r="C34" s="61" t="s">
        <v>355</v>
      </c>
      <c r="D34" s="62">
        <v>46217.473611111112</v>
      </c>
      <c r="E34" s="61" t="s">
        <v>356</v>
      </c>
      <c r="G34" s="61">
        <v>35577206</v>
      </c>
      <c r="H34" s="61">
        <v>70001045</v>
      </c>
      <c r="I34" s="61" t="s">
        <v>419</v>
      </c>
      <c r="J34" s="61" t="s">
        <v>359</v>
      </c>
      <c r="K34" s="61" t="s">
        <v>179</v>
      </c>
      <c r="N34" s="61" t="s">
        <v>12</v>
      </c>
      <c r="O34" s="61" t="s">
        <v>92</v>
      </c>
      <c r="P34" s="61" t="s">
        <v>87</v>
      </c>
      <c r="U34" s="61" t="s">
        <v>87</v>
      </c>
      <c r="V34" s="65">
        <v>100</v>
      </c>
      <c r="W34" s="61" t="s">
        <v>361</v>
      </c>
      <c r="X34" s="61" t="s">
        <v>353</v>
      </c>
    </row>
    <row r="35" spans="1:24" x14ac:dyDescent="0.3">
      <c r="A35" s="60">
        <v>46219</v>
      </c>
      <c r="B35" s="61" t="s">
        <v>380</v>
      </c>
      <c r="C35" s="61" t="s">
        <v>355</v>
      </c>
      <c r="D35" s="62">
        <v>46219.26666666667</v>
      </c>
      <c r="E35" s="61" t="s">
        <v>356</v>
      </c>
      <c r="G35" s="61">
        <v>35623780</v>
      </c>
      <c r="H35" s="61">
        <v>55055320</v>
      </c>
      <c r="I35" s="61" t="s">
        <v>421</v>
      </c>
      <c r="J35" s="61" t="s">
        <v>359</v>
      </c>
      <c r="K35" s="61" t="s">
        <v>179</v>
      </c>
      <c r="N35" s="61" t="s">
        <v>11</v>
      </c>
      <c r="V35" s="65">
        <v>100</v>
      </c>
      <c r="W35" s="61" t="s">
        <v>361</v>
      </c>
      <c r="X35" s="61" t="s">
        <v>353</v>
      </c>
    </row>
    <row r="36" spans="1:24" x14ac:dyDescent="0.3">
      <c r="A36" s="60">
        <v>46219</v>
      </c>
      <c r="B36" s="61" t="s">
        <v>422</v>
      </c>
      <c r="C36" s="61" t="s">
        <v>355</v>
      </c>
      <c r="D36" s="62">
        <v>46219.283333333333</v>
      </c>
      <c r="E36" s="61" t="s">
        <v>356</v>
      </c>
      <c r="F36" s="61" t="s">
        <v>376</v>
      </c>
      <c r="G36" s="61">
        <v>35623898</v>
      </c>
      <c r="H36" s="61">
        <v>55881800</v>
      </c>
      <c r="I36" s="61" t="s">
        <v>423</v>
      </c>
      <c r="J36" s="61" t="s">
        <v>359</v>
      </c>
      <c r="K36" s="61" t="s">
        <v>180</v>
      </c>
      <c r="L36" s="61" t="s">
        <v>7</v>
      </c>
      <c r="M36" s="61" t="s">
        <v>61</v>
      </c>
      <c r="N36" s="61" t="s">
        <v>12</v>
      </c>
      <c r="O36" s="61" t="s">
        <v>91</v>
      </c>
      <c r="P36" s="61" t="s">
        <v>61</v>
      </c>
      <c r="U36" s="61" t="s">
        <v>61</v>
      </c>
      <c r="V36" s="65">
        <v>30</v>
      </c>
      <c r="W36" s="61" t="s">
        <v>367</v>
      </c>
      <c r="X36" s="61" t="s">
        <v>424</v>
      </c>
    </row>
    <row r="37" spans="1:24" x14ac:dyDescent="0.3">
      <c r="A37" s="60">
        <v>46219</v>
      </c>
      <c r="B37" s="61" t="s">
        <v>403</v>
      </c>
      <c r="C37" s="61" t="s">
        <v>355</v>
      </c>
      <c r="D37" s="62">
        <v>46219.295138888891</v>
      </c>
      <c r="E37" s="61" t="s">
        <v>356</v>
      </c>
      <c r="G37" s="61">
        <v>35624051</v>
      </c>
      <c r="H37" s="61">
        <v>77676943</v>
      </c>
      <c r="I37" s="61" t="s">
        <v>425</v>
      </c>
      <c r="J37" s="61" t="s">
        <v>359</v>
      </c>
      <c r="K37" s="61" t="s">
        <v>179</v>
      </c>
      <c r="N37" s="61" t="s">
        <v>11</v>
      </c>
      <c r="V37" s="65">
        <v>100</v>
      </c>
      <c r="W37" s="61" t="s">
        <v>361</v>
      </c>
      <c r="X37" s="61" t="s">
        <v>353</v>
      </c>
    </row>
    <row r="38" spans="1:24" x14ac:dyDescent="0.3">
      <c r="A38" s="60">
        <v>46221</v>
      </c>
      <c r="B38" s="61" t="s">
        <v>415</v>
      </c>
      <c r="C38" s="61" t="s">
        <v>355</v>
      </c>
      <c r="D38" s="62">
        <v>46219.45416666667</v>
      </c>
      <c r="E38" s="61" t="s">
        <v>356</v>
      </c>
      <c r="F38" s="61" t="s">
        <v>376</v>
      </c>
      <c r="G38" s="61">
        <v>35631654</v>
      </c>
      <c r="H38" s="61">
        <v>55768088</v>
      </c>
      <c r="I38" s="61" t="s">
        <v>426</v>
      </c>
      <c r="J38" s="61" t="s">
        <v>359</v>
      </c>
      <c r="K38" s="61" t="s">
        <v>180</v>
      </c>
      <c r="L38" s="61" t="s">
        <v>7</v>
      </c>
      <c r="M38" s="61" t="s">
        <v>60</v>
      </c>
      <c r="N38" s="61" t="s">
        <v>12</v>
      </c>
      <c r="O38" s="61" t="s">
        <v>91</v>
      </c>
      <c r="P38" s="61" t="s">
        <v>60</v>
      </c>
      <c r="U38" s="61" t="s">
        <v>60</v>
      </c>
      <c r="V38" s="65">
        <v>30</v>
      </c>
      <c r="W38" s="61" t="s">
        <v>367</v>
      </c>
      <c r="X38" s="61" t="s">
        <v>427</v>
      </c>
    </row>
    <row r="39" spans="1:24" x14ac:dyDescent="0.3">
      <c r="A39" s="60">
        <v>46221</v>
      </c>
      <c r="B39" s="61" t="s">
        <v>380</v>
      </c>
      <c r="C39" s="61" t="s">
        <v>355</v>
      </c>
      <c r="D39" s="62">
        <v>46219.456944444442</v>
      </c>
      <c r="E39" s="61" t="s">
        <v>356</v>
      </c>
      <c r="F39" s="61" t="s">
        <v>376</v>
      </c>
      <c r="G39" s="61">
        <v>35631841</v>
      </c>
      <c r="H39" s="61">
        <v>55534358</v>
      </c>
      <c r="I39" s="61" t="s">
        <v>428</v>
      </c>
      <c r="J39" s="61" t="s">
        <v>359</v>
      </c>
      <c r="K39" s="61" t="s">
        <v>180</v>
      </c>
      <c r="L39" s="61" t="s">
        <v>7</v>
      </c>
      <c r="M39" s="61" t="s">
        <v>61</v>
      </c>
      <c r="N39" s="61" t="s">
        <v>12</v>
      </c>
      <c r="O39" s="61" t="s">
        <v>91</v>
      </c>
      <c r="P39" s="61" t="s">
        <v>61</v>
      </c>
      <c r="U39" s="61" t="s">
        <v>61</v>
      </c>
      <c r="V39" s="65">
        <v>30</v>
      </c>
      <c r="W39" s="61" t="s">
        <v>367</v>
      </c>
      <c r="X39" s="61" t="s">
        <v>429</v>
      </c>
    </row>
    <row r="40" spans="1:24" x14ac:dyDescent="0.3">
      <c r="A40" s="60">
        <v>46221</v>
      </c>
      <c r="B40" s="61" t="s">
        <v>399</v>
      </c>
      <c r="C40" s="61" t="s">
        <v>355</v>
      </c>
      <c r="D40" s="62">
        <v>46219.48333333333</v>
      </c>
      <c r="E40" s="61" t="s">
        <v>356</v>
      </c>
      <c r="G40" s="61">
        <v>35633397</v>
      </c>
      <c r="H40" s="61">
        <v>55110037</v>
      </c>
      <c r="I40" s="61" t="s">
        <v>430</v>
      </c>
      <c r="J40" s="61" t="s">
        <v>359</v>
      </c>
      <c r="K40" s="61" t="s">
        <v>179</v>
      </c>
      <c r="N40" s="61" t="s">
        <v>12</v>
      </c>
      <c r="O40" s="61" t="s">
        <v>92</v>
      </c>
      <c r="P40" s="61" t="s">
        <v>87</v>
      </c>
      <c r="U40" s="61" t="s">
        <v>87</v>
      </c>
      <c r="V40" s="65">
        <v>100</v>
      </c>
      <c r="W40" s="61" t="s">
        <v>361</v>
      </c>
      <c r="X40" s="61" t="s">
        <v>353</v>
      </c>
    </row>
    <row r="41" spans="1:24" x14ac:dyDescent="0.3">
      <c r="A41" s="60">
        <v>46222</v>
      </c>
      <c r="B41" s="61" t="s">
        <v>431</v>
      </c>
      <c r="C41" s="61" t="s">
        <v>355</v>
      </c>
      <c r="D41" s="62">
        <v>46221.347916666666</v>
      </c>
      <c r="E41" s="61" t="s">
        <v>356</v>
      </c>
      <c r="F41" s="61" t="s">
        <v>358</v>
      </c>
      <c r="G41" s="61">
        <v>35665488</v>
      </c>
      <c r="H41" s="61">
        <v>70569156</v>
      </c>
      <c r="I41" s="61" t="s">
        <v>432</v>
      </c>
      <c r="J41" s="61" t="s">
        <v>359</v>
      </c>
      <c r="K41" s="61" t="s">
        <v>181</v>
      </c>
      <c r="L41" s="61" t="s">
        <v>7</v>
      </c>
      <c r="M41" s="61" t="s">
        <v>77</v>
      </c>
      <c r="N41" s="61" t="s">
        <v>11</v>
      </c>
      <c r="U41" s="61" t="s">
        <v>77</v>
      </c>
      <c r="V41" s="65">
        <v>95</v>
      </c>
      <c r="W41" s="61" t="s">
        <v>361</v>
      </c>
      <c r="X41" s="61" t="s">
        <v>433</v>
      </c>
    </row>
    <row r="42" spans="1:24" x14ac:dyDescent="0.3">
      <c r="A42" s="60">
        <v>46222</v>
      </c>
      <c r="B42" s="61" t="s">
        <v>371</v>
      </c>
      <c r="C42" s="61" t="s">
        <v>355</v>
      </c>
      <c r="D42" s="62">
        <v>46221.459722222222</v>
      </c>
      <c r="E42" s="61" t="s">
        <v>356</v>
      </c>
      <c r="G42" s="61">
        <v>35669536</v>
      </c>
      <c r="H42" s="61">
        <v>55016964</v>
      </c>
      <c r="I42" s="61" t="s">
        <v>434</v>
      </c>
      <c r="J42" s="61" t="s">
        <v>359</v>
      </c>
      <c r="K42" s="61" t="s">
        <v>179</v>
      </c>
      <c r="N42" s="61" t="s">
        <v>12</v>
      </c>
      <c r="O42" s="61" t="s">
        <v>92</v>
      </c>
      <c r="P42" s="61" t="s">
        <v>87</v>
      </c>
      <c r="U42" s="61" t="s">
        <v>87</v>
      </c>
      <c r="V42" s="65">
        <v>100</v>
      </c>
      <c r="W42" s="61" t="s">
        <v>361</v>
      </c>
      <c r="X42" s="61" t="s">
        <v>353</v>
      </c>
    </row>
    <row r="43" spans="1:24" x14ac:dyDescent="0.3">
      <c r="A43" s="60">
        <v>46222</v>
      </c>
      <c r="B43" s="61" t="s">
        <v>362</v>
      </c>
      <c r="C43" s="61" t="s">
        <v>355</v>
      </c>
      <c r="D43" s="62">
        <v>46221.572222222225</v>
      </c>
      <c r="E43" s="61" t="s">
        <v>356</v>
      </c>
      <c r="G43" s="61">
        <v>35676958</v>
      </c>
      <c r="H43" s="61">
        <v>55967903</v>
      </c>
      <c r="I43" s="61" t="s">
        <v>435</v>
      </c>
      <c r="J43" s="61" t="s">
        <v>359</v>
      </c>
      <c r="K43" s="61" t="s">
        <v>179</v>
      </c>
      <c r="N43" s="61" t="s">
        <v>12</v>
      </c>
      <c r="O43" s="61" t="s">
        <v>92</v>
      </c>
      <c r="P43" s="61" t="s">
        <v>87</v>
      </c>
      <c r="U43" s="61" t="s">
        <v>87</v>
      </c>
      <c r="V43" s="65">
        <v>100</v>
      </c>
      <c r="W43" s="61" t="s">
        <v>361</v>
      </c>
      <c r="X43" s="61" t="s">
        <v>353</v>
      </c>
    </row>
    <row r="44" spans="1:24" x14ac:dyDescent="0.3">
      <c r="A44" s="60">
        <v>46222</v>
      </c>
      <c r="B44" s="61" t="s">
        <v>436</v>
      </c>
      <c r="C44" s="61" t="s">
        <v>355</v>
      </c>
      <c r="D44" s="62">
        <v>46221.612500000003</v>
      </c>
      <c r="E44" s="61" t="s">
        <v>356</v>
      </c>
      <c r="G44" s="61">
        <v>35680562</v>
      </c>
      <c r="H44" s="61">
        <v>55530031</v>
      </c>
      <c r="I44" s="61" t="s">
        <v>437</v>
      </c>
      <c r="J44" s="61" t="s">
        <v>359</v>
      </c>
      <c r="K44" s="61" t="s">
        <v>179</v>
      </c>
      <c r="N44" s="61" t="s">
        <v>11</v>
      </c>
      <c r="U44" s="66"/>
      <c r="V44" s="65">
        <v>100</v>
      </c>
      <c r="W44" s="61" t="s">
        <v>361</v>
      </c>
      <c r="X44" s="61" t="s">
        <v>353</v>
      </c>
    </row>
    <row r="45" spans="1:24" x14ac:dyDescent="0.3">
      <c r="A45" s="60"/>
      <c r="D45" s="62"/>
      <c r="V45" s="65"/>
    </row>
    <row r="46" spans="1:24" x14ac:dyDescent="0.3">
      <c r="A46" s="60"/>
      <c r="D46" s="62"/>
      <c r="V46" s="65"/>
    </row>
    <row r="47" spans="1:24" x14ac:dyDescent="0.3">
      <c r="A47" s="60"/>
      <c r="D47" s="62"/>
      <c r="V47" s="65"/>
    </row>
    <row r="48" spans="1:24" x14ac:dyDescent="0.3">
      <c r="A48" s="60"/>
      <c r="D48" s="62"/>
      <c r="V48" s="65"/>
    </row>
    <row r="49" spans="1:24" x14ac:dyDescent="0.3">
      <c r="A49" s="60"/>
      <c r="D49" s="62"/>
      <c r="V49" s="65"/>
    </row>
    <row r="50" spans="1:24" x14ac:dyDescent="0.3">
      <c r="A50" s="60"/>
      <c r="D50" s="62"/>
      <c r="V50" s="65"/>
    </row>
    <row r="51" spans="1:24" x14ac:dyDescent="0.3">
      <c r="A51" s="60"/>
      <c r="D51" s="62"/>
      <c r="V51" s="65"/>
    </row>
    <row r="52" spans="1:24" x14ac:dyDescent="0.3">
      <c r="A52" s="60"/>
      <c r="D52" s="62"/>
      <c r="V52" s="65"/>
    </row>
    <row r="53" spans="1:24" x14ac:dyDescent="0.3">
      <c r="A53" s="60"/>
      <c r="D53" s="62"/>
      <c r="V53" s="65"/>
    </row>
    <row r="54" spans="1:24" x14ac:dyDescent="0.3">
      <c r="A54" s="60"/>
      <c r="D54" s="62"/>
      <c r="V54" s="65"/>
    </row>
    <row r="55" spans="1:24" x14ac:dyDescent="0.3">
      <c r="A55" s="60"/>
      <c r="D55" s="62"/>
      <c r="V55" s="65"/>
    </row>
    <row r="56" spans="1:24" x14ac:dyDescent="0.3">
      <c r="A56" s="60"/>
      <c r="D56" s="62"/>
      <c r="V56" s="65"/>
    </row>
    <row r="57" spans="1:24" x14ac:dyDescent="0.3">
      <c r="A57" s="60"/>
      <c r="D57" s="62"/>
      <c r="V57" s="65"/>
    </row>
    <row r="58" spans="1:24" x14ac:dyDescent="0.3">
      <c r="A58" s="60"/>
      <c r="D58" s="62"/>
      <c r="V58" s="65"/>
    </row>
    <row r="59" spans="1:24" x14ac:dyDescent="0.3">
      <c r="A59" s="60"/>
      <c r="D59" s="62"/>
      <c r="V59" s="65"/>
    </row>
    <row r="60" spans="1:24" x14ac:dyDescent="0.3">
      <c r="A60" s="60"/>
      <c r="D60" s="62"/>
      <c r="V60" s="65"/>
      <c r="X60" s="63"/>
    </row>
    <row r="61" spans="1:24" x14ac:dyDescent="0.3">
      <c r="A61" s="60"/>
      <c r="D61" s="62"/>
      <c r="V61" s="65"/>
    </row>
    <row r="62" spans="1:24" x14ac:dyDescent="0.3">
      <c r="A62" s="60"/>
      <c r="D62" s="62"/>
      <c r="V62" s="65"/>
    </row>
    <row r="63" spans="1:24" x14ac:dyDescent="0.3">
      <c r="A63" s="60"/>
      <c r="D63" s="62"/>
      <c r="V63" s="65"/>
    </row>
    <row r="64" spans="1:24" x14ac:dyDescent="0.3">
      <c r="A64" s="60"/>
      <c r="D64" s="62"/>
      <c r="V64" s="65"/>
    </row>
    <row r="65" spans="1:22" x14ac:dyDescent="0.3">
      <c r="A65" s="60"/>
      <c r="D65" s="62"/>
      <c r="V65" s="65"/>
    </row>
    <row r="66" spans="1:22" x14ac:dyDescent="0.3">
      <c r="A66" s="60"/>
      <c r="D66" s="62"/>
      <c r="V66" s="65"/>
    </row>
    <row r="67" spans="1:22" x14ac:dyDescent="0.3">
      <c r="A67" s="60"/>
      <c r="D67" s="62"/>
      <c r="V67" s="65"/>
    </row>
    <row r="68" spans="1:22" x14ac:dyDescent="0.3">
      <c r="A68" s="60"/>
      <c r="D68" s="62"/>
      <c r="V68" s="65"/>
    </row>
    <row r="69" spans="1:22" x14ac:dyDescent="0.3">
      <c r="A69" s="60"/>
      <c r="D69" s="62"/>
      <c r="V69" s="65"/>
    </row>
    <row r="70" spans="1:22" x14ac:dyDescent="0.3">
      <c r="A70" s="60"/>
      <c r="D70" s="62"/>
      <c r="V70" s="65"/>
    </row>
    <row r="71" spans="1:22" x14ac:dyDescent="0.3">
      <c r="A71" s="60"/>
      <c r="D71" s="62"/>
      <c r="V71" s="65"/>
    </row>
    <row r="72" spans="1:22" x14ac:dyDescent="0.3">
      <c r="A72" s="60"/>
      <c r="D72" s="62"/>
      <c r="V72" s="65"/>
    </row>
    <row r="73" spans="1:22" x14ac:dyDescent="0.3">
      <c r="A73" s="60"/>
      <c r="D73" s="62"/>
      <c r="V73" s="65"/>
    </row>
    <row r="74" spans="1:22" x14ac:dyDescent="0.3">
      <c r="A74" s="60"/>
      <c r="D74" s="62"/>
      <c r="V74" s="65"/>
    </row>
    <row r="75" spans="1:22" x14ac:dyDescent="0.3">
      <c r="A75" s="60"/>
      <c r="D75" s="62"/>
      <c r="V75" s="65"/>
    </row>
    <row r="76" spans="1:22" x14ac:dyDescent="0.3">
      <c r="A76" s="60"/>
      <c r="D76" s="62"/>
      <c r="V76" s="65"/>
    </row>
    <row r="77" spans="1:22" x14ac:dyDescent="0.3">
      <c r="A77" s="60"/>
      <c r="D77" s="62"/>
      <c r="V77" s="65"/>
    </row>
    <row r="78" spans="1:22" x14ac:dyDescent="0.3">
      <c r="A78" s="60"/>
      <c r="D78" s="62"/>
      <c r="V78" s="65"/>
    </row>
    <row r="79" spans="1:22" x14ac:dyDescent="0.3">
      <c r="A79" s="60"/>
      <c r="D79" s="62"/>
      <c r="V79" s="65"/>
    </row>
    <row r="80" spans="1:22" x14ac:dyDescent="0.3">
      <c r="A80" s="60"/>
      <c r="D80" s="62"/>
      <c r="V80" s="65"/>
    </row>
    <row r="81" spans="1:22" x14ac:dyDescent="0.3">
      <c r="A81" s="60"/>
      <c r="D81" s="62"/>
      <c r="V81" s="65"/>
    </row>
    <row r="82" spans="1:22" x14ac:dyDescent="0.3">
      <c r="A82" s="60"/>
      <c r="D82" s="62"/>
      <c r="V82" s="65"/>
    </row>
    <row r="83" spans="1:22" x14ac:dyDescent="0.3">
      <c r="A83" s="60"/>
      <c r="D83" s="62"/>
      <c r="V83" s="65"/>
    </row>
    <row r="84" spans="1:22" x14ac:dyDescent="0.3">
      <c r="A84" s="60"/>
      <c r="D84" s="62"/>
      <c r="V84" s="65"/>
    </row>
    <row r="85" spans="1:22" x14ac:dyDescent="0.3">
      <c r="A85" s="60"/>
      <c r="D85" s="62"/>
      <c r="V85" s="65"/>
    </row>
    <row r="86" spans="1:22" x14ac:dyDescent="0.3">
      <c r="A86" s="60"/>
      <c r="D86" s="62"/>
      <c r="V86" s="65"/>
    </row>
    <row r="87" spans="1:22" x14ac:dyDescent="0.3">
      <c r="A87" s="60"/>
      <c r="D87" s="62"/>
      <c r="V87" s="65"/>
    </row>
    <row r="88" spans="1:22" x14ac:dyDescent="0.3">
      <c r="A88" s="60"/>
      <c r="D88" s="62"/>
      <c r="V88" s="65"/>
    </row>
    <row r="89" spans="1:22" x14ac:dyDescent="0.3">
      <c r="A89" s="60"/>
      <c r="D89" s="62"/>
      <c r="V89" s="65"/>
    </row>
    <row r="90" spans="1:22" x14ac:dyDescent="0.3">
      <c r="A90" s="60"/>
      <c r="D90" s="62"/>
      <c r="V90" s="65"/>
    </row>
    <row r="91" spans="1:22" x14ac:dyDescent="0.3">
      <c r="A91" s="60"/>
      <c r="D91" s="62"/>
      <c r="V91" s="65"/>
    </row>
    <row r="92" spans="1:22" x14ac:dyDescent="0.3">
      <c r="A92" s="60"/>
      <c r="D92" s="62"/>
      <c r="V92" s="65"/>
    </row>
    <row r="93" spans="1:22" x14ac:dyDescent="0.3">
      <c r="A93" s="60"/>
      <c r="D93" s="62"/>
      <c r="V93" s="65"/>
    </row>
    <row r="94" spans="1:22" x14ac:dyDescent="0.3">
      <c r="A94" s="60"/>
      <c r="D94" s="62"/>
      <c r="V94" s="65"/>
    </row>
    <row r="95" spans="1:22" x14ac:dyDescent="0.3">
      <c r="A95" s="60"/>
      <c r="D95" s="62"/>
      <c r="V95" s="65"/>
    </row>
    <row r="96" spans="1:22" x14ac:dyDescent="0.3">
      <c r="A96" s="60"/>
      <c r="D96" s="62"/>
      <c r="V96" s="65"/>
    </row>
    <row r="97" spans="1:22" ht="14.25" customHeight="1" x14ac:dyDescent="0.3">
      <c r="A97" s="60"/>
      <c r="D97" s="62"/>
      <c r="V97" s="65"/>
    </row>
    <row r="98" spans="1:22" x14ac:dyDescent="0.3">
      <c r="A98" s="60"/>
      <c r="D98" s="62"/>
      <c r="V98" s="65"/>
    </row>
    <row r="99" spans="1:22" x14ac:dyDescent="0.3">
      <c r="A99" s="60"/>
      <c r="D99" s="62"/>
      <c r="V99" s="65"/>
    </row>
    <row r="100" spans="1:22" x14ac:dyDescent="0.3">
      <c r="A100" s="60"/>
      <c r="D100" s="62"/>
      <c r="V100" s="65"/>
    </row>
    <row r="101" spans="1:22" x14ac:dyDescent="0.3">
      <c r="A101" s="60"/>
      <c r="D101" s="62"/>
      <c r="V101" s="65"/>
    </row>
    <row r="102" spans="1:22" x14ac:dyDescent="0.3">
      <c r="A102" s="60"/>
      <c r="D102" s="62"/>
      <c r="V102" s="65"/>
    </row>
    <row r="103" spans="1:22" x14ac:dyDescent="0.3">
      <c r="A103" s="60"/>
      <c r="D103" s="62"/>
      <c r="V103" s="65"/>
    </row>
    <row r="104" spans="1:22" x14ac:dyDescent="0.3">
      <c r="A104" s="60"/>
      <c r="D104" s="62"/>
      <c r="V104" s="65"/>
    </row>
    <row r="105" spans="1:22" x14ac:dyDescent="0.3">
      <c r="A105" s="60"/>
      <c r="D105" s="62"/>
      <c r="V105" s="65"/>
    </row>
    <row r="106" spans="1:22" x14ac:dyDescent="0.3">
      <c r="A106" s="60"/>
      <c r="D106" s="62"/>
      <c r="V106" s="65"/>
    </row>
    <row r="107" spans="1:22" x14ac:dyDescent="0.3">
      <c r="A107" s="60"/>
      <c r="D107" s="62"/>
      <c r="V107" s="65"/>
    </row>
    <row r="108" spans="1:22" x14ac:dyDescent="0.3">
      <c r="A108" s="60"/>
      <c r="D108" s="62"/>
      <c r="V108" s="65"/>
    </row>
    <row r="109" spans="1:22" x14ac:dyDescent="0.3">
      <c r="A109" s="60"/>
      <c r="D109" s="62"/>
      <c r="V109" s="65"/>
    </row>
    <row r="110" spans="1:22" x14ac:dyDescent="0.3">
      <c r="A110" s="60"/>
      <c r="D110" s="62"/>
      <c r="V110" s="65"/>
    </row>
    <row r="111" spans="1:22" x14ac:dyDescent="0.3">
      <c r="A111" s="60"/>
      <c r="D111" s="62"/>
      <c r="V111" s="65"/>
    </row>
    <row r="112" spans="1:22" x14ac:dyDescent="0.3">
      <c r="A112" s="60"/>
      <c r="D112" s="62"/>
      <c r="V112" s="65"/>
    </row>
    <row r="113" spans="1:22" x14ac:dyDescent="0.3">
      <c r="A113" s="60"/>
      <c r="D113" s="62"/>
      <c r="V113" s="65"/>
    </row>
    <row r="114" spans="1:22" x14ac:dyDescent="0.3">
      <c r="A114" s="60"/>
      <c r="D114" s="62"/>
      <c r="V114" s="65"/>
    </row>
    <row r="115" spans="1:22" x14ac:dyDescent="0.3">
      <c r="A115" s="60"/>
      <c r="D115" s="62"/>
      <c r="V115" s="65"/>
    </row>
    <row r="116" spans="1:22" x14ac:dyDescent="0.3">
      <c r="A116" s="60"/>
      <c r="D116" s="62"/>
      <c r="V116" s="65"/>
    </row>
    <row r="117" spans="1:22" x14ac:dyDescent="0.3">
      <c r="A117" s="60"/>
      <c r="D117" s="62"/>
      <c r="V117" s="65"/>
    </row>
    <row r="118" spans="1:22" x14ac:dyDescent="0.3">
      <c r="A118" s="60"/>
      <c r="D118" s="62"/>
      <c r="V118" s="65"/>
    </row>
    <row r="119" spans="1:22" x14ac:dyDescent="0.3">
      <c r="A119" s="60"/>
      <c r="D119" s="62"/>
      <c r="V119" s="65"/>
    </row>
    <row r="120" spans="1:22" x14ac:dyDescent="0.3">
      <c r="A120" s="60"/>
      <c r="D120" s="62"/>
      <c r="V120" s="65"/>
    </row>
    <row r="121" spans="1:22" x14ac:dyDescent="0.3">
      <c r="A121" s="60"/>
      <c r="D121" s="62"/>
      <c r="V121" s="65"/>
    </row>
    <row r="122" spans="1:22" x14ac:dyDescent="0.3">
      <c r="A122" s="60"/>
      <c r="D122" s="62"/>
      <c r="V122" s="65"/>
    </row>
    <row r="123" spans="1:22" x14ac:dyDescent="0.3">
      <c r="A123" s="60"/>
      <c r="D123" s="62"/>
      <c r="V123" s="65"/>
    </row>
    <row r="124" spans="1:22" x14ac:dyDescent="0.3">
      <c r="A124" s="60"/>
      <c r="D124" s="62"/>
      <c r="V124" s="65"/>
    </row>
    <row r="125" spans="1:22" x14ac:dyDescent="0.3">
      <c r="A125" s="60"/>
      <c r="D125" s="62"/>
      <c r="V125" s="65"/>
    </row>
    <row r="126" spans="1:22" x14ac:dyDescent="0.3">
      <c r="A126" s="60"/>
      <c r="D126" s="62"/>
      <c r="V126" s="65"/>
    </row>
    <row r="127" spans="1:22" x14ac:dyDescent="0.3">
      <c r="A127" s="60"/>
      <c r="D127" s="62"/>
      <c r="V127" s="65"/>
    </row>
    <row r="128" spans="1:22" x14ac:dyDescent="0.3">
      <c r="A128" s="60"/>
      <c r="D128" s="62"/>
      <c r="V128" s="65"/>
    </row>
    <row r="129" spans="1:22" x14ac:dyDescent="0.3">
      <c r="A129" s="60"/>
      <c r="D129" s="62"/>
    </row>
    <row r="130" spans="1:22" x14ac:dyDescent="0.3">
      <c r="A130" s="60"/>
      <c r="D130" s="62"/>
    </row>
    <row r="131" spans="1:22" x14ac:dyDescent="0.3">
      <c r="A131" s="60"/>
      <c r="D131" s="62"/>
      <c r="V131" s="65"/>
    </row>
    <row r="132" spans="1:22" x14ac:dyDescent="0.3">
      <c r="A132" s="60"/>
      <c r="D132" s="62"/>
      <c r="V132" s="65"/>
    </row>
    <row r="133" spans="1:22" x14ac:dyDescent="0.3">
      <c r="A133" s="60"/>
      <c r="D133" s="62"/>
      <c r="V133" s="65"/>
    </row>
  </sheetData>
  <autoFilter ref="A9:X61" xr:uid="{4CBF88D0-D6D6-4851-B858-C8E926F23E38}"/>
  <mergeCells count="2">
    <mergeCell ref="O2:O3"/>
    <mergeCell ref="K4:L5"/>
  </mergeCells>
  <conditionalFormatting sqref="G10:G13">
    <cfRule type="duplicateValues" dxfId="32" priority="46"/>
  </conditionalFormatting>
  <conditionalFormatting sqref="G33 G10:G13">
    <cfRule type="duplicateValues" dxfId="31" priority="45"/>
  </conditionalFormatting>
  <conditionalFormatting sqref="G14">
    <cfRule type="duplicateValues" dxfId="30" priority="44"/>
  </conditionalFormatting>
  <conditionalFormatting sqref="G15">
    <cfRule type="duplicateValues" dxfId="29" priority="41"/>
  </conditionalFormatting>
  <conditionalFormatting sqref="G15">
    <cfRule type="duplicateValues" dxfId="28" priority="40"/>
  </conditionalFormatting>
  <conditionalFormatting sqref="G16">
    <cfRule type="duplicateValues" dxfId="27" priority="39"/>
  </conditionalFormatting>
  <conditionalFormatting sqref="G16">
    <cfRule type="duplicateValues" dxfId="26" priority="38"/>
  </conditionalFormatting>
  <conditionalFormatting sqref="G17">
    <cfRule type="duplicateValues" dxfId="25" priority="37"/>
  </conditionalFormatting>
  <conditionalFormatting sqref="G17">
    <cfRule type="duplicateValues" dxfId="24" priority="36"/>
  </conditionalFormatting>
  <conditionalFormatting sqref="G18">
    <cfRule type="duplicateValues" dxfId="23" priority="35"/>
  </conditionalFormatting>
  <conditionalFormatting sqref="G18">
    <cfRule type="duplicateValues" dxfId="22" priority="34"/>
  </conditionalFormatting>
  <conditionalFormatting sqref="G22">
    <cfRule type="duplicateValues" dxfId="21" priority="25"/>
  </conditionalFormatting>
  <conditionalFormatting sqref="G22">
    <cfRule type="duplicateValues" dxfId="20" priority="24"/>
  </conditionalFormatting>
  <conditionalFormatting sqref="G23">
    <cfRule type="duplicateValues" dxfId="19" priority="23"/>
  </conditionalFormatting>
  <conditionalFormatting sqref="G23">
    <cfRule type="duplicateValues" dxfId="18" priority="22"/>
  </conditionalFormatting>
  <conditionalFormatting sqref="G24">
    <cfRule type="duplicateValues" dxfId="17" priority="21"/>
  </conditionalFormatting>
  <conditionalFormatting sqref="G24">
    <cfRule type="duplicateValues" dxfId="16" priority="20"/>
  </conditionalFormatting>
  <conditionalFormatting sqref="G25">
    <cfRule type="duplicateValues" dxfId="15" priority="19"/>
  </conditionalFormatting>
  <conditionalFormatting sqref="G25">
    <cfRule type="duplicateValues" dxfId="14" priority="18"/>
  </conditionalFormatting>
  <conditionalFormatting sqref="G26">
    <cfRule type="duplicateValues" dxfId="13" priority="17"/>
  </conditionalFormatting>
  <conditionalFormatting sqref="G27">
    <cfRule type="duplicateValues" dxfId="12" priority="16"/>
  </conditionalFormatting>
  <conditionalFormatting sqref="G28">
    <cfRule type="duplicateValues" dxfId="11" priority="15"/>
  </conditionalFormatting>
  <conditionalFormatting sqref="G29">
    <cfRule type="duplicateValues" dxfId="10" priority="14"/>
  </conditionalFormatting>
  <conditionalFormatting sqref="G30">
    <cfRule type="duplicateValues" dxfId="9" priority="13"/>
  </conditionalFormatting>
  <conditionalFormatting sqref="G30">
    <cfRule type="duplicateValues" dxfId="8" priority="12"/>
  </conditionalFormatting>
  <conditionalFormatting sqref="G31">
    <cfRule type="duplicateValues" dxfId="7" priority="11"/>
  </conditionalFormatting>
  <conditionalFormatting sqref="G31">
    <cfRule type="duplicateValues" dxfId="6" priority="10"/>
  </conditionalFormatting>
  <conditionalFormatting sqref="G10:G18 G22:G35 G37:G46 G51:G61">
    <cfRule type="duplicateValues" dxfId="5" priority="54"/>
  </conditionalFormatting>
  <conditionalFormatting sqref="G19:G21">
    <cfRule type="duplicateValues" dxfId="4" priority="6"/>
  </conditionalFormatting>
  <conditionalFormatting sqref="G19:G21">
    <cfRule type="duplicateValues" dxfId="3" priority="5"/>
  </conditionalFormatting>
  <conditionalFormatting sqref="G19:G21">
    <cfRule type="duplicateValues" dxfId="2" priority="7"/>
  </conditionalFormatting>
  <conditionalFormatting sqref="G47:G50">
    <cfRule type="duplicateValues" dxfId="1" priority="2"/>
  </conditionalFormatting>
  <conditionalFormatting sqref="G36">
    <cfRule type="duplicateValues" dxfId="0" priority="1"/>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REF</vt:lpstr>
      <vt:lpstr>Team Ref</vt:lpstr>
      <vt:lpstr>Glossary</vt:lpstr>
      <vt:lpstr>QA Scorecard</vt:lpstr>
      <vt:lpstr>Daily Report</vt:lpstr>
      <vt:lpstr>_Agent_</vt:lpstr>
      <vt:lpstr>_Technical_</vt:lpstr>
      <vt:lpstr>Agent</vt:lpstr>
      <vt:lpstr>Agent_</vt:lpstr>
      <vt:lpstr>Agent_Behavior</vt:lpstr>
      <vt:lpstr>Agent_Behavior_</vt:lpstr>
      <vt:lpstr>Communication</vt:lpstr>
      <vt:lpstr>Communication_</vt:lpstr>
      <vt:lpstr>Controlable_Factor</vt:lpstr>
      <vt:lpstr>CST_Behavior</vt:lpstr>
      <vt:lpstr>CST_Behavior_</vt:lpstr>
      <vt:lpstr>Customer</vt:lpstr>
      <vt:lpstr>Customer_</vt:lpstr>
      <vt:lpstr>Knowledge</vt:lpstr>
      <vt:lpstr>Knowledge_</vt:lpstr>
      <vt:lpstr>Process</vt:lpstr>
      <vt:lpstr>Process_</vt:lpstr>
      <vt:lpstr>Process_Limitation</vt:lpstr>
      <vt:lpstr>Process_Limitation_</vt:lpstr>
      <vt:lpstr>Skill_Issue</vt:lpstr>
      <vt:lpstr>Skill_Issue_</vt:lpstr>
      <vt:lpstr>System_Issue</vt:lpstr>
      <vt:lpstr>System_Issue_</vt:lpstr>
      <vt:lpstr>Technical</vt:lpstr>
      <vt:lpstr>Technical_</vt:lpstr>
      <vt:lpstr>Uncontrollable_Factor</vt:lpstr>
      <vt:lpstr>Uncontrollable_Factors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Fady Farag</dc:creator>
  <cp:lastModifiedBy>Ahmad Qurnah</cp:lastModifiedBy>
  <dcterms:created xsi:type="dcterms:W3CDTF">2024-12-02T20:06:28Z</dcterms:created>
  <dcterms:modified xsi:type="dcterms:W3CDTF">2026-07-19T15:09:34Z</dcterms:modified>
</cp:coreProperties>
</file>